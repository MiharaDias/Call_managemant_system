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Contacts" sheetId="2" state="visible" r:id="rId4"/>
    <sheet name="Call Log" sheetId="3" state="visible" r:id="rId5"/>
    <sheet name="Lists" sheetId="4" state="visible" r:id="rId6"/>
  </sheets>
  <definedNames>
    <definedName function="false" hidden="true" localSheetId="2" name="_xlnm._FilterDatabase" vbProcedure="false">'Call Log'!$A$4:$U$134</definedName>
    <definedName function="false" hidden="true" localSheetId="1" name="_xlnm._FilterDatabase" vbProcedure="false">Contacts!$A$4:$V$30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<sst xmlns="http://schemas.openxmlformats.org/spreadsheetml/2006/main" count="242" uniqueCount="165">
  <si>
    <t xml:space="preserve">CAMPAIGN DASHBOARD</t>
  </si>
  <si>
    <t xml:space="preserve">All numbers calculate automatically from the Call Log and Contacts sheets.</t>
  </si>
  <si>
    <t xml:space="preserve">Metric</t>
  </si>
  <si>
    <t xml:space="preserve">Round 1</t>
  </si>
  <si>
    <t xml:space="preserve">Round 2</t>
  </si>
  <si>
    <t xml:space="preserve">Round 3</t>
  </si>
  <si>
    <t xml:space="preserve">Round 4</t>
  </si>
  <si>
    <t xml:space="preserve">Round 5</t>
  </si>
  <si>
    <t xml:space="preserve">Total</t>
  </si>
  <si>
    <t xml:space="preserve">Calls logged (outcome filled)</t>
  </si>
  <si>
    <t xml:space="preserve">Answered</t>
  </si>
  <si>
    <t xml:space="preserve">No answer / busy / unreachable</t>
  </si>
  <si>
    <t xml:space="preserve">Wrong number</t>
  </si>
  <si>
    <t xml:space="preserve">Spoke to teacher</t>
  </si>
  <si>
    <t xml:space="preserve">Manager / hotline contacted</t>
  </si>
  <si>
    <t xml:space="preserve">Demo video sent</t>
  </si>
  <si>
    <t xml:space="preserve">Detailed message sent</t>
  </si>
  <si>
    <t xml:space="preserve">Prices proposed (count)</t>
  </si>
  <si>
    <t xml:space="preserve">Average price proposed (LKR)</t>
  </si>
  <si>
    <t xml:space="preserve">Interested / negotiating / deal</t>
  </si>
  <si>
    <t xml:space="preserve">Not interested</t>
  </si>
  <si>
    <t xml:space="preserve">Teachers by overall status</t>
  </si>
  <si>
    <t xml:space="preserve">Not started</t>
  </si>
  <si>
    <t xml:space="preserve">In progress</t>
  </si>
  <si>
    <t xml:space="preserve">Interested</t>
  </si>
  <si>
    <t xml:space="preserve">Negotiating</t>
  </si>
  <si>
    <t xml:space="preserve">Won</t>
  </si>
  <si>
    <t xml:space="preserve">Lost / Not interested</t>
  </si>
  <si>
    <t xml:space="preserve">Total teachers</t>
  </si>
  <si>
    <t xml:space="preserve">Teachers with a phone number</t>
  </si>
  <si>
    <t xml:space="preserve">Teachers never called yet</t>
  </si>
  <si>
    <t xml:space="preserve">TEACHER CONTACT MASTER</t>
  </si>
  <si>
    <t xml:space="preserve">Yellow-header columns = you type. Grey columns calculate from the Call Log. Numbers and names come from your photo; the 6 teachers marked 'no number' were only in your checklist - add their numbers in Phone 1.</t>
  </si>
  <si>
    <t xml:space="preserve">Ticked = [x], Unticked = [ ] in your list</t>
  </si>
  <si>
    <t xml:space="preserve">Set manually</t>
  </si>
  <si>
    <t xml:space="preserve">ID</t>
  </si>
  <si>
    <t xml:space="preserve">Teacher Name</t>
  </si>
  <si>
    <t xml:space="preserve">Subject</t>
  </si>
  <si>
    <t xml:space="preserve">Phone 1</t>
  </si>
  <si>
    <t xml:space="preserve">Phone 2</t>
  </si>
  <si>
    <t xml:space="preserve">Phone 3</t>
  </si>
  <si>
    <t xml:space="preserve">Source Checklist (your tick list)</t>
  </si>
  <si>
    <t xml:space="preserve">Round 1 Outcome</t>
  </si>
  <si>
    <t xml:space="preserve">Round 2 Outcome</t>
  </si>
  <si>
    <t xml:space="preserve">Round 3 Outcome</t>
  </si>
  <si>
    <t xml:space="preserve">Round 4 Outcome</t>
  </si>
  <si>
    <t xml:space="preserve">Round 5 Outcome</t>
  </si>
  <si>
    <t xml:space="preserve">Rounds Attempted</t>
  </si>
  <si>
    <t xml:space="preserve">Reached Teacher / Mgr / Hotline</t>
  </si>
  <si>
    <t xml:space="preserve">Manager / Hotline Contacted?</t>
  </si>
  <si>
    <t xml:space="preserve">Demo Video Sent?</t>
  </si>
  <si>
    <t xml:space="preserve">Detailed Msg Sent?</t>
  </si>
  <si>
    <t xml:space="preserve">Latest Price Proposed (LKR)</t>
  </si>
  <si>
    <t xml:space="preserve">Latest Interest Level</t>
  </si>
  <si>
    <t xml:space="preserve">Overall Status</t>
  </si>
  <si>
    <t xml:space="preserve">Next Follow-up</t>
  </si>
  <si>
    <t xml:space="preserve">Notes</t>
  </si>
  <si>
    <t xml:space="preserve">Darshana Ukuwela</t>
  </si>
  <si>
    <t xml:space="preserve">Physics</t>
  </si>
  <si>
    <t xml:space="preserve">071 344 4555</t>
  </si>
  <si>
    <t xml:space="preserve">Unticked</t>
  </si>
  <si>
    <t xml:space="preserve">Nilantha Jayasuriya</t>
  </si>
  <si>
    <t xml:space="preserve">070 153 5353</t>
  </si>
  <si>
    <t xml:space="preserve">Ticked</t>
  </si>
  <si>
    <t xml:space="preserve">Janindu Leelananda</t>
  </si>
  <si>
    <t xml:space="preserve">076 666 3851</t>
  </si>
  <si>
    <t xml:space="preserve">Mahen Jecob</t>
  </si>
  <si>
    <t xml:space="preserve">075 123 0193</t>
  </si>
  <si>
    <t xml:space="preserve">Charitha Dissanayake</t>
  </si>
  <si>
    <t xml:space="preserve">Chemistry</t>
  </si>
  <si>
    <t xml:space="preserve">077 767 4747</t>
  </si>
  <si>
    <t xml:space="preserve">Kelum Senanayake</t>
  </si>
  <si>
    <t xml:space="preserve">074 273 9090</t>
  </si>
  <si>
    <t xml:space="preserve">Ujith Hemachandra</t>
  </si>
  <si>
    <t xml:space="preserve">070 666 7051</t>
  </si>
  <si>
    <t xml:space="preserve">070 666 7052</t>
  </si>
  <si>
    <t xml:space="preserve">Tissa Jananayaka</t>
  </si>
  <si>
    <t xml:space="preserve">Bio</t>
  </si>
  <si>
    <t xml:space="preserve">074 016 7200</t>
  </si>
  <si>
    <t xml:space="preserve">Dinesh Muthugala</t>
  </si>
  <si>
    <t xml:space="preserve">070 244 3322</t>
  </si>
  <si>
    <t xml:space="preserve">Dananjaya Ariyadasa</t>
  </si>
  <si>
    <t xml:space="preserve">070 208 0845</t>
  </si>
  <si>
    <t xml:space="preserve">Sashanka Dhanujaya</t>
  </si>
  <si>
    <t xml:space="preserve">076 909 9230</t>
  </si>
  <si>
    <t xml:space="preserve">Charitha Munasinghe</t>
  </si>
  <si>
    <t xml:space="preserve">077 721 9676</t>
  </si>
  <si>
    <t xml:space="preserve">071 695 4387</t>
  </si>
  <si>
    <t xml:space="preserve">077 759 0796</t>
  </si>
  <si>
    <t xml:space="preserve">Virul Weerakoon</t>
  </si>
  <si>
    <t xml:space="preserve">070 611 8842</t>
  </si>
  <si>
    <t xml:space="preserve">Sanjeewa Rajapaksha</t>
  </si>
  <si>
    <t xml:space="preserve">Agri</t>
  </si>
  <si>
    <t xml:space="preserve">070 298 3055</t>
  </si>
  <si>
    <t xml:space="preserve">Upul Weerasinghe</t>
  </si>
  <si>
    <t xml:space="preserve">SFT</t>
  </si>
  <si>
    <t xml:space="preserve">070 289 0900</t>
  </si>
  <si>
    <t xml:space="preserve">Amila D Samarasinghe</t>
  </si>
  <si>
    <t xml:space="preserve">ET</t>
  </si>
  <si>
    <t xml:space="preserve">070 111 3021</t>
  </si>
  <si>
    <t xml:space="preserve">Bhanuka Ekanayake</t>
  </si>
  <si>
    <t xml:space="preserve">ICT</t>
  </si>
  <si>
    <t xml:space="preserve">071 300 5005</t>
  </si>
  <si>
    <t xml:space="preserve">Lucky Chathuranga</t>
  </si>
  <si>
    <t xml:space="preserve">Econ</t>
  </si>
  <si>
    <t xml:space="preserve">077 088 0663</t>
  </si>
  <si>
    <t xml:space="preserve">Kasun Liyanage</t>
  </si>
  <si>
    <t xml:space="preserve">077 458 4226</t>
  </si>
  <si>
    <t xml:space="preserve">Sameera Edirisinghe</t>
  </si>
  <si>
    <t xml:space="preserve">Logic</t>
  </si>
  <si>
    <t xml:space="preserve">071 244 1751</t>
  </si>
  <si>
    <t xml:space="preserve">Srimal Wijesinghe</t>
  </si>
  <si>
    <t xml:space="preserve">No number in photo - add number</t>
  </si>
  <si>
    <t xml:space="preserve">Malaka Priyadarshana</t>
  </si>
  <si>
    <t xml:space="preserve">Gihan Edussuriya</t>
  </si>
  <si>
    <t xml:space="preserve">BST</t>
  </si>
  <si>
    <t xml:space="preserve">Amila Dasanayake</t>
  </si>
  <si>
    <t xml:space="preserve">Ravindu Bandaranayake</t>
  </si>
  <si>
    <t xml:space="preserve">Anuradha Perera</t>
  </si>
  <si>
    <t xml:space="preserve">CALL LOG - all 5 rounds in one sheet</t>
  </si>
  <si>
    <t xml:space="preserve">Each teacher has 5 pre-made rows (Round 1-5). Fill the white columns; grey columns fill themselves. Extra attempts within a round: note them in the Notes column (the summary reads one row per round).</t>
  </si>
  <si>
    <t xml:space="preserve">Example: Round 1 | 13-Oct-2026 | 10:30 AM | 071 344 4555 | Answered - Spoke | Manager | Yes | Mr. Perera | Yes | Yes | WhatsApp | 15000 | 12000 | Considering | Call again | 20-Oct-2026</t>
  </si>
  <si>
    <t xml:space="preserve">Key</t>
  </si>
  <si>
    <t xml:space="preserve">Teacher ID</t>
  </si>
  <si>
    <t xml:space="preserve">Round</t>
  </si>
  <si>
    <t xml:space="preserve">Call Date</t>
  </si>
  <si>
    <t xml:space="preserve">Call Time</t>
  </si>
  <si>
    <t xml:space="preserve">Number Dialed</t>
  </si>
  <si>
    <t xml:space="preserve">Call Outcome</t>
  </si>
  <si>
    <t xml:space="preserve">Spoke To</t>
  </si>
  <si>
    <t xml:space="preserve">Contact Person Name</t>
  </si>
  <si>
    <t xml:space="preserve">Detailed Message Sent?</t>
  </si>
  <si>
    <t xml:space="preserve">Sent Via</t>
  </si>
  <si>
    <t xml:space="preserve">Price Proposed (LKR)</t>
  </si>
  <si>
    <t xml:space="preserve">Teacher Counter-Offer (LKR)</t>
  </si>
  <si>
    <t xml:space="preserve">Interest Level</t>
  </si>
  <si>
    <t xml:space="preserve">Next Action</t>
  </si>
  <si>
    <t xml:space="preserve">Follow-up Date</t>
  </si>
  <si>
    <t xml:space="preserve">Outcome</t>
  </si>
  <si>
    <t xml:space="preserve">SpokeTo</t>
  </si>
  <si>
    <t xml:space="preserve">YesNo</t>
  </si>
  <si>
    <t xml:space="preserve">Interest</t>
  </si>
  <si>
    <t xml:space="preserve">Channel</t>
  </si>
  <si>
    <t xml:space="preserve">Status</t>
  </si>
  <si>
    <t xml:space="preserve">Answered - Spoke</t>
  </si>
  <si>
    <t xml:space="preserve">Teacher</t>
  </si>
  <si>
    <t xml:space="preserve">Yes</t>
  </si>
  <si>
    <t xml:space="preserve">WhatsApp</t>
  </si>
  <si>
    <t xml:space="preserve">Answered - Call back later</t>
  </si>
  <si>
    <t xml:space="preserve">Manager</t>
  </si>
  <si>
    <t xml:space="preserve">No</t>
  </si>
  <si>
    <t xml:space="preserve">Considering</t>
  </si>
  <si>
    <t xml:space="preserve">Email</t>
  </si>
  <si>
    <t xml:space="preserve">No answer</t>
  </si>
  <si>
    <t xml:space="preserve">Hotline</t>
  </si>
  <si>
    <t xml:space="preserve">Needs more info</t>
  </si>
  <si>
    <t xml:space="preserve">SMS</t>
  </si>
  <si>
    <t xml:space="preserve">Busy</t>
  </si>
  <si>
    <t xml:space="preserve">Receptionist / Other</t>
  </si>
  <si>
    <t xml:space="preserve">Other</t>
  </si>
  <si>
    <t xml:space="preserve">Switched off / Unreachable</t>
  </si>
  <si>
    <t xml:space="preserve">Nobody</t>
  </si>
  <si>
    <t xml:space="preserve">Confirmed / Deal</t>
  </si>
  <si>
    <t xml:space="preserve">Call declined</t>
  </si>
  <si>
    <t xml:space="preserve">Edit these lists to change the dropdown options in the other sheets.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</si>
</sst>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"/>
    <numFmt numFmtId="167" formatCode="@"/>
    <numFmt numFmtId="168" formatCode="dd\-mmm\-yyyy"/>
    <numFmt numFmtId="169" formatCode="hh:mm\ AM/P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7F7F7F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rgb="FFE7E6E6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7E6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COUNTIFS('Call Log'!$E$5:$E$134,1,'Call Log'!$I$5:$I$134,"?*")</f>
        <v>0</v>
      </c>
      <c r="C5" s="5" t="n">
        <f aca="false">COUNTIFS('Call Log'!$E$5:$E$134,2,'Call Log'!$I$5:$I$134,"?*")</f>
        <v>0</v>
      </c>
      <c r="D5" s="5" t="n">
        <f aca="false">COUNTIFS('Call Log'!$E$5:$E$134,3,'Call Log'!$I$5:$I$134,"?*")</f>
        <v>0</v>
      </c>
      <c r="E5" s="5" t="n">
        <f aca="false">COUNTIFS('Call Log'!$E$5:$E$134,4,'Call Log'!$I$5:$I$134,"?*")</f>
        <v>0</v>
      </c>
      <c r="F5" s="5" t="n">
        <f aca="false">COUNTIFS('Call Log'!$E$5:$E$134,5,'Call Log'!$I$5:$I$134,"?*")</f>
        <v>0</v>
      </c>
      <c r="G5" s="6" t="n">
        <f aca="false">SUM(B5:F5)</f>
        <v>0</v>
      </c>
    </row>
    <row r="6" customFormat="false" ht="15" hidden="false" customHeight="false" outlineLevel="0" collapsed="false">
      <c r="A6" s="4" t="s">
        <v>10</v>
      </c>
      <c r="B6" s="5" t="n">
        <f aca="false">COUNTIFS('Call Log'!$E$5:$E$134,1,'Call Log'!$I$5:$I$134,"Answered*")</f>
        <v>0</v>
      </c>
      <c r="C6" s="5" t="n">
        <f aca="false">COUNTIFS('Call Log'!$E$5:$E$134,2,'Call Log'!$I$5:$I$134,"Answered*")</f>
        <v>0</v>
      </c>
      <c r="D6" s="5" t="n">
        <f aca="false">COUNTIFS('Call Log'!$E$5:$E$134,3,'Call Log'!$I$5:$I$134,"Answered*")</f>
        <v>0</v>
      </c>
      <c r="E6" s="5" t="n">
        <f aca="false">COUNTIFS('Call Log'!$E$5:$E$134,4,'Call Log'!$I$5:$I$134,"Answered*")</f>
        <v>0</v>
      </c>
      <c r="F6" s="5" t="n">
        <f aca="false">COUNTIFS('Call Log'!$E$5:$E$134,5,'Call Log'!$I$5:$I$134,"Answered*")</f>
        <v>0</v>
      </c>
      <c r="G6" s="6" t="n">
        <f aca="false">SUM(B6:F6)</f>
        <v>0</v>
      </c>
    </row>
    <row r="7" customFormat="false" ht="15" hidden="false" customHeight="false" outlineLevel="0" collapsed="false">
      <c r="A7" s="4" t="s">
        <v>11</v>
      </c>
      <c r="B7" s="5" t="n">
        <f aca="false">COUNTIFS('Call Log'!$E$5:$E$134,1,'Call Log'!$I$5:$I$134,"No answer")+COUNTIFS('Call Log'!$E$5:$E$134,1,'Call Log'!$I$5:$I$134,"Busy")+COUNTIFS('Call Log'!$E$5:$E$134,1,'Call Log'!$I$5:$I$134,"Switched*")+COUNTIFS('Call Log'!$E$5:$E$134,1,'Call Log'!$I$5:$I$134,"Call declined")</f>
        <v>0</v>
      </c>
      <c r="C7" s="5" t="n">
        <f aca="false">COUNTIFS('Call Log'!$E$5:$E$134,2,'Call Log'!$I$5:$I$134,"No answer")+COUNTIFS('Call Log'!$E$5:$E$134,2,'Call Log'!$I$5:$I$134,"Busy")+COUNTIFS('Call Log'!$E$5:$E$134,2,'Call Log'!$I$5:$I$134,"Switched*")+COUNTIFS('Call Log'!$E$5:$E$134,2,'Call Log'!$I$5:$I$134,"Call declined")</f>
        <v>0</v>
      </c>
      <c r="D7" s="5" t="n">
        <f aca="false">COUNTIFS('Call Log'!$E$5:$E$134,3,'Call Log'!$I$5:$I$134,"No answer")+COUNTIFS('Call Log'!$E$5:$E$134,3,'Call Log'!$I$5:$I$134,"Busy")+COUNTIFS('Call Log'!$E$5:$E$134,3,'Call Log'!$I$5:$I$134,"Switched*")+COUNTIFS('Call Log'!$E$5:$E$134,3,'Call Log'!$I$5:$I$134,"Call declined")</f>
        <v>0</v>
      </c>
      <c r="E7" s="5" t="n">
        <f aca="false">COUNTIFS('Call Log'!$E$5:$E$134,4,'Call Log'!$I$5:$I$134,"No answer")+COUNTIFS('Call Log'!$E$5:$E$134,4,'Call Log'!$I$5:$I$134,"Busy")+COUNTIFS('Call Log'!$E$5:$E$134,4,'Call Log'!$I$5:$I$134,"Switched*")+COUNTIFS('Call Log'!$E$5:$E$134,4,'Call Log'!$I$5:$I$134,"Call declined")</f>
        <v>0</v>
      </c>
      <c r="F7" s="5" t="n">
        <f aca="false">COUNTIFS('Call Log'!$E$5:$E$134,5,'Call Log'!$I$5:$I$134,"No answer")+COUNTIFS('Call Log'!$E$5:$E$134,5,'Call Log'!$I$5:$I$134,"Busy")+COUNTIFS('Call Log'!$E$5:$E$134,5,'Call Log'!$I$5:$I$134,"Switched*")+COUNTIFS('Call Log'!$E$5:$E$134,5,'Call Log'!$I$5:$I$134,"Call declined")</f>
        <v>0</v>
      </c>
      <c r="G7" s="6" t="n">
        <f aca="false">SUM(B7:F7)</f>
        <v>0</v>
      </c>
    </row>
    <row r="8" customFormat="false" ht="15" hidden="false" customHeight="false" outlineLevel="0" collapsed="false">
      <c r="A8" s="4" t="s">
        <v>12</v>
      </c>
      <c r="B8" s="5" t="n">
        <f aca="false">COUNTIFS('Call Log'!$E$5:$E$134,1,'Call Log'!$I$5:$I$134,"Wrong number")</f>
        <v>0</v>
      </c>
      <c r="C8" s="5" t="n">
        <f aca="false">COUNTIFS('Call Log'!$E$5:$E$134,2,'Call Log'!$I$5:$I$134,"Wrong number")</f>
        <v>0</v>
      </c>
      <c r="D8" s="5" t="n">
        <f aca="false">COUNTIFS('Call Log'!$E$5:$E$134,3,'Call Log'!$I$5:$I$134,"Wrong number")</f>
        <v>0</v>
      </c>
      <c r="E8" s="5" t="n">
        <f aca="false">COUNTIFS('Call Log'!$E$5:$E$134,4,'Call Log'!$I$5:$I$134,"Wrong number")</f>
        <v>0</v>
      </c>
      <c r="F8" s="5" t="n">
        <f aca="false">COUNTIFS('Call Log'!$E$5:$E$134,5,'Call Log'!$I$5:$I$134,"Wrong number")</f>
        <v>0</v>
      </c>
      <c r="G8" s="6" t="n">
        <f aca="false">SUM(B8:F8)</f>
        <v>0</v>
      </c>
    </row>
    <row r="9" customFormat="false" ht="15" hidden="false" customHeight="false" outlineLevel="0" collapsed="false">
      <c r="A9" s="4" t="s">
        <v>13</v>
      </c>
      <c r="B9" s="5" t="n">
        <f aca="false">COUNTIFS('Call Log'!$E$5:$E$134,1,'Call Log'!$J$5:$J$134,"Teacher")</f>
        <v>0</v>
      </c>
      <c r="C9" s="5" t="n">
        <f aca="false">COUNTIFS('Call Log'!$E$5:$E$134,2,'Call Log'!$J$5:$J$134,"Teacher")</f>
        <v>0</v>
      </c>
      <c r="D9" s="5" t="n">
        <f aca="false">COUNTIFS('Call Log'!$E$5:$E$134,3,'Call Log'!$J$5:$J$134,"Teacher")</f>
        <v>0</v>
      </c>
      <c r="E9" s="5" t="n">
        <f aca="false">COUNTIFS('Call Log'!$E$5:$E$134,4,'Call Log'!$J$5:$J$134,"Teacher")</f>
        <v>0</v>
      </c>
      <c r="F9" s="5" t="n">
        <f aca="false">COUNTIFS('Call Log'!$E$5:$E$134,5,'Call Log'!$J$5:$J$134,"Teacher")</f>
        <v>0</v>
      </c>
      <c r="G9" s="6" t="n">
        <f aca="false">SUM(B9:F9)</f>
        <v>0</v>
      </c>
    </row>
    <row r="10" customFormat="false" ht="15" hidden="false" customHeight="false" outlineLevel="0" collapsed="false">
      <c r="A10" s="4" t="s">
        <v>14</v>
      </c>
      <c r="B10" s="5" t="n">
        <f aca="false">COUNTIFS('Call Log'!$E$5:$E$134,1,'Call Log'!$K$5:$K$134,"Yes")</f>
        <v>0</v>
      </c>
      <c r="C10" s="5" t="n">
        <f aca="false">COUNTIFS('Call Log'!$E$5:$E$134,2,'Call Log'!$K$5:$K$134,"Yes")</f>
        <v>0</v>
      </c>
      <c r="D10" s="5" t="n">
        <f aca="false">COUNTIFS('Call Log'!$E$5:$E$134,3,'Call Log'!$K$5:$K$134,"Yes")</f>
        <v>0</v>
      </c>
      <c r="E10" s="5" t="n">
        <f aca="false">COUNTIFS('Call Log'!$E$5:$E$134,4,'Call Log'!$K$5:$K$134,"Yes")</f>
        <v>0</v>
      </c>
      <c r="F10" s="5" t="n">
        <f aca="false">COUNTIFS('Call Log'!$E$5:$E$134,5,'Call Log'!$K$5:$K$134,"Yes")</f>
        <v>0</v>
      </c>
      <c r="G10" s="6" t="n">
        <f aca="false">SUM(B10:F10)</f>
        <v>0</v>
      </c>
    </row>
    <row r="11" customFormat="false" ht="15" hidden="false" customHeight="false" outlineLevel="0" collapsed="false">
      <c r="A11" s="4" t="s">
        <v>15</v>
      </c>
      <c r="B11" s="5" t="n">
        <f aca="false">COUNTIFS('Call Log'!$E$5:$E$134,1,'Call Log'!$M$5:$M$134,"Yes")</f>
        <v>0</v>
      </c>
      <c r="C11" s="5" t="n">
        <f aca="false">COUNTIFS('Call Log'!$E$5:$E$134,2,'Call Log'!$M$5:$M$134,"Yes")</f>
        <v>0</v>
      </c>
      <c r="D11" s="5" t="n">
        <f aca="false">COUNTIFS('Call Log'!$E$5:$E$134,3,'Call Log'!$M$5:$M$134,"Yes")</f>
        <v>0</v>
      </c>
      <c r="E11" s="5" t="n">
        <f aca="false">COUNTIFS('Call Log'!$E$5:$E$134,4,'Call Log'!$M$5:$M$134,"Yes")</f>
        <v>0</v>
      </c>
      <c r="F11" s="5" t="n">
        <f aca="false">COUNTIFS('Call Log'!$E$5:$E$134,5,'Call Log'!$M$5:$M$134,"Yes")</f>
        <v>0</v>
      </c>
      <c r="G11" s="6" t="n">
        <f aca="false">SUM(B11:F11)</f>
        <v>0</v>
      </c>
    </row>
    <row r="12" customFormat="false" ht="15" hidden="false" customHeight="false" outlineLevel="0" collapsed="false">
      <c r="A12" s="4" t="s">
        <v>16</v>
      </c>
      <c r="B12" s="5" t="n">
        <f aca="false">COUNTIFS('Call Log'!$E$5:$E$134,1,'Call Log'!$N$5:$N$134,"Yes")</f>
        <v>0</v>
      </c>
      <c r="C12" s="5" t="n">
        <f aca="false">COUNTIFS('Call Log'!$E$5:$E$134,2,'Call Log'!$N$5:$N$134,"Yes")</f>
        <v>0</v>
      </c>
      <c r="D12" s="5" t="n">
        <f aca="false">COUNTIFS('Call Log'!$E$5:$E$134,3,'Call Log'!$N$5:$N$134,"Yes")</f>
        <v>0</v>
      </c>
      <c r="E12" s="5" t="n">
        <f aca="false">COUNTIFS('Call Log'!$E$5:$E$134,4,'Call Log'!$N$5:$N$134,"Yes")</f>
        <v>0</v>
      </c>
      <c r="F12" s="5" t="n">
        <f aca="false">COUNTIFS('Call Log'!$E$5:$E$134,5,'Call Log'!$N$5:$N$134,"Yes")</f>
        <v>0</v>
      </c>
      <c r="G12" s="6" t="n">
        <f aca="false">SUM(B12:F12)</f>
        <v>0</v>
      </c>
    </row>
    <row r="13" customFormat="false" ht="15" hidden="false" customHeight="false" outlineLevel="0" collapsed="false">
      <c r="A13" s="4" t="s">
        <v>17</v>
      </c>
      <c r="B13" s="5" t="n">
        <f aca="false">COUNTIFS('Call Log'!$E$5:$E$134,1,'Call Log'!$P$5:$P$134,"&gt;0")</f>
        <v>0</v>
      </c>
      <c r="C13" s="5" t="n">
        <f aca="false">COUNTIFS('Call Log'!$E$5:$E$134,2,'Call Log'!$P$5:$P$134,"&gt;0")</f>
        <v>0</v>
      </c>
      <c r="D13" s="5" t="n">
        <f aca="false">COUNTIFS('Call Log'!$E$5:$E$134,3,'Call Log'!$P$5:$P$134,"&gt;0")</f>
        <v>0</v>
      </c>
      <c r="E13" s="5" t="n">
        <f aca="false">COUNTIFS('Call Log'!$E$5:$E$134,4,'Call Log'!$P$5:$P$134,"&gt;0")</f>
        <v>0</v>
      </c>
      <c r="F13" s="5" t="n">
        <f aca="false">COUNTIFS('Call Log'!$E$5:$E$134,5,'Call Log'!$P$5:$P$134,"&gt;0")</f>
        <v>0</v>
      </c>
      <c r="G13" s="6" t="n">
        <f aca="false">SUM(B13:F13)</f>
        <v>0</v>
      </c>
    </row>
    <row r="14" customFormat="false" ht="15" hidden="false" customHeight="false" outlineLevel="0" collapsed="false">
      <c r="A14" s="4" t="s">
        <v>18</v>
      </c>
      <c r="B14" s="7" t="n">
        <f aca="false">IFERROR(AVERAGEIFS('Call Log'!$P$5:$P$134,'Call Log'!$E$5:$E$134,1,'Call Log'!$P$5:$P$134,"&gt;0"),0)</f>
        <v>0</v>
      </c>
      <c r="C14" s="7" t="n">
        <f aca="false">IFERROR(AVERAGEIFS('Call Log'!$P$5:$P$134,'Call Log'!$E$5:$E$134,2,'Call Log'!$P$5:$P$134,"&gt;0"),0)</f>
        <v>0</v>
      </c>
      <c r="D14" s="7" t="n">
        <f aca="false">IFERROR(AVERAGEIFS('Call Log'!$P$5:$P$134,'Call Log'!$E$5:$E$134,3,'Call Log'!$P$5:$P$134,"&gt;0"),0)</f>
        <v>0</v>
      </c>
      <c r="E14" s="7" t="n">
        <f aca="false">IFERROR(AVERAGEIFS('Call Log'!$P$5:$P$134,'Call Log'!$E$5:$E$134,4,'Call Log'!$P$5:$P$134,"&gt;0"),0)</f>
        <v>0</v>
      </c>
      <c r="F14" s="7" t="n">
        <f aca="false">IFERROR(AVERAGEIFS('Call Log'!$P$5:$P$134,'Call Log'!$E$5:$E$134,5,'Call Log'!$P$5:$P$134,"&gt;0"),0)</f>
        <v>0</v>
      </c>
      <c r="G14" s="8" t="n">
        <f aca="false">IFERROR(AVERAGEIF('Call Log'!$P$5:$P$134,"&gt;0"),0)</f>
        <v>0</v>
      </c>
    </row>
    <row r="15" customFormat="false" ht="15" hidden="false" customHeight="false" outlineLevel="0" collapsed="false">
      <c r="A15" s="4" t="s">
        <v>19</v>
      </c>
      <c r="B15" s="5" t="n">
        <f aca="false">COUNTIFS('Call Log'!$E$5:$E$134,1,'Call Log'!$R$5:$R$134,"Interested")+COUNTIFS('Call Log'!$E$5:$E$134,1,'Call Log'!$R$5:$R$134,"Negotiating")+COUNTIFS('Call Log'!$E$5:$E$134,1,'Call Log'!$R$5:$R$134,"Confirmed / Deal")</f>
        <v>0</v>
      </c>
      <c r="C15" s="5" t="n">
        <f aca="false">COUNTIFS('Call Log'!$E$5:$E$134,2,'Call Log'!$R$5:$R$134,"Interested")+COUNTIFS('Call Log'!$E$5:$E$134,2,'Call Log'!$R$5:$R$134,"Negotiating")+COUNTIFS('Call Log'!$E$5:$E$134,2,'Call Log'!$R$5:$R$134,"Confirmed / Deal")</f>
        <v>0</v>
      </c>
      <c r="D15" s="5" t="n">
        <f aca="false">COUNTIFS('Call Log'!$E$5:$E$134,3,'Call Log'!$R$5:$R$134,"Interested")+COUNTIFS('Call Log'!$E$5:$E$134,3,'Call Log'!$R$5:$R$134,"Negotiating")+COUNTIFS('Call Log'!$E$5:$E$134,3,'Call Log'!$R$5:$R$134,"Confirmed / Deal")</f>
        <v>0</v>
      </c>
      <c r="E15" s="5" t="n">
        <f aca="false">COUNTIFS('Call Log'!$E$5:$E$134,4,'Call Log'!$R$5:$R$134,"Interested")+COUNTIFS('Call Log'!$E$5:$E$134,4,'Call Log'!$R$5:$R$134,"Negotiating")+COUNTIFS('Call Log'!$E$5:$E$134,4,'Call Log'!$R$5:$R$134,"Confirmed / Deal")</f>
        <v>0</v>
      </c>
      <c r="F15" s="5" t="n">
        <f aca="false">COUNTIFS('Call Log'!$E$5:$E$134,5,'Call Log'!$R$5:$R$134,"Interested")+COUNTIFS('Call Log'!$E$5:$E$134,5,'Call Log'!$R$5:$R$134,"Negotiating")+COUNTIFS('Call Log'!$E$5:$E$134,5,'Call Log'!$R$5:$R$134,"Confirmed / Deal")</f>
        <v>0</v>
      </c>
      <c r="G15" s="6" t="n">
        <f aca="false">SUM(B15:F15)</f>
        <v>0</v>
      </c>
    </row>
    <row r="16" customFormat="false" ht="15" hidden="false" customHeight="false" outlineLevel="0" collapsed="false">
      <c r="A16" s="4" t="s">
        <v>20</v>
      </c>
      <c r="B16" s="5" t="n">
        <f aca="false">COUNTIFS('Call Log'!$E$5:$E$134,1,'Call Log'!$R$5:$R$134,"Not interested")</f>
        <v>0</v>
      </c>
      <c r="C16" s="5" t="n">
        <f aca="false">COUNTIFS('Call Log'!$E$5:$E$134,2,'Call Log'!$R$5:$R$134,"Not interested")</f>
        <v>0</v>
      </c>
      <c r="D16" s="5" t="n">
        <f aca="false">COUNTIFS('Call Log'!$E$5:$E$134,3,'Call Log'!$R$5:$R$134,"Not interested")</f>
        <v>0</v>
      </c>
      <c r="E16" s="5" t="n">
        <f aca="false">COUNTIFS('Call Log'!$E$5:$E$134,4,'Call Log'!$R$5:$R$134,"Not interested")</f>
        <v>0</v>
      </c>
      <c r="F16" s="5" t="n">
        <f aca="false">COUNTIFS('Call Log'!$E$5:$E$134,5,'Call Log'!$R$5:$R$134,"Not interested")</f>
        <v>0</v>
      </c>
      <c r="G16" s="6" t="n">
        <f aca="false">SUM(B16:F16)</f>
        <v>0</v>
      </c>
    </row>
    <row r="19" customFormat="false" ht="15" hidden="false" customHeight="false" outlineLevel="0" collapsed="false">
      <c r="A19" s="9" t="s">
        <v>21</v>
      </c>
    </row>
    <row r="20" customFormat="false" ht="15" hidden="false" customHeight="false" outlineLevel="0" collapsed="false">
      <c r="A20" s="4" t="s">
        <v>22</v>
      </c>
      <c r="B20" s="5" t="n">
        <f aca="false">COUNTIF(Contacts!$T$5:$T$30,A20)</f>
        <v>26</v>
      </c>
    </row>
    <row r="21" customFormat="false" ht="15" hidden="false" customHeight="false" outlineLevel="0" collapsed="false">
      <c r="A21" s="4" t="s">
        <v>23</v>
      </c>
      <c r="B21" s="5" t="n">
        <f aca="false">COUNTIF(Contacts!$T$5:$T$30,A21)</f>
        <v>0</v>
      </c>
    </row>
    <row r="22" customFormat="false" ht="15" hidden="false" customHeight="false" outlineLevel="0" collapsed="false">
      <c r="A22" s="4" t="s">
        <v>24</v>
      </c>
      <c r="B22" s="5" t="n">
        <f aca="false">COUNTIF(Contacts!$T$5:$T$30,A22)</f>
        <v>0</v>
      </c>
    </row>
    <row r="23" customFormat="false" ht="15" hidden="false" customHeight="false" outlineLevel="0" collapsed="false">
      <c r="A23" s="4" t="s">
        <v>25</v>
      </c>
      <c r="B23" s="5" t="n">
        <f aca="false">COUNTIF(Contacts!$T$5:$T$30,A23)</f>
        <v>0</v>
      </c>
    </row>
    <row r="24" customFormat="false" ht="15" hidden="false" customHeight="false" outlineLevel="0" collapsed="false">
      <c r="A24" s="4" t="s">
        <v>26</v>
      </c>
      <c r="B24" s="5" t="n">
        <f aca="false">COUNTIF(Contacts!$T$5:$T$30,A24)</f>
        <v>0</v>
      </c>
    </row>
    <row r="25" customFormat="false" ht="15" hidden="false" customHeight="false" outlineLevel="0" collapsed="false">
      <c r="A25" s="4" t="s">
        <v>27</v>
      </c>
      <c r="B25" s="5" t="n">
        <f aca="false">COUNTIF(Contacts!$T$5:$T$30,A25)</f>
        <v>0</v>
      </c>
    </row>
    <row r="26" customFormat="false" ht="15" hidden="false" customHeight="false" outlineLevel="0" collapsed="false">
      <c r="A26" s="10" t="s">
        <v>28</v>
      </c>
      <c r="B26" s="11" t="n">
        <f aca="false">SUM(B20:B25)</f>
        <v>26</v>
      </c>
    </row>
    <row r="27" customFormat="false" ht="15" hidden="false" customHeight="false" outlineLevel="0" collapsed="false">
      <c r="A27" s="12" t="s">
        <v>29</v>
      </c>
      <c r="B27" s="13" t="n">
        <f aca="false">COUNTIF(Contacts!$D$5:$D$30,"?*")</f>
        <v>20</v>
      </c>
    </row>
    <row r="28" customFormat="false" ht="15" hidden="false" customHeight="false" outlineLevel="0" collapsed="false">
      <c r="A28" s="12" t="s">
        <v>30</v>
      </c>
      <c r="B28" s="13" t="n">
        <f aca="false">COUNTIF(Contacts!$M$5:$M$30,0)</f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6" min="4" style="0" width="16"/>
    <col collapsed="false" customWidth="true" hidden="false" outlineLevel="0" max="7" min="7" style="0" width="18"/>
    <col collapsed="false" customWidth="true" hidden="false" outlineLevel="0" max="12" min="8" style="0" width="20"/>
    <col collapsed="false" customWidth="true" hidden="false" outlineLevel="0" max="13" min="13" style="0" width="10"/>
    <col collapsed="false" customWidth="true" hidden="false" outlineLevel="0" max="15" min="14" style="0" width="15"/>
    <col collapsed="false" customWidth="true" hidden="false" outlineLevel="0" max="17" min="16" style="0" width="11"/>
    <col collapsed="false" customWidth="true" hidden="false" outlineLevel="0" max="18" min="18" style="0" width="15"/>
    <col collapsed="false" customWidth="true" hidden="false" outlineLevel="0" max="19" min="19" style="0" width="16"/>
    <col collapsed="false" customWidth="true" hidden="false" outlineLevel="0" max="20" min="20" style="0" width="18"/>
    <col collapsed="false" customWidth="true" hidden="false" outlineLevel="0" max="21" min="21" style="0" width="14"/>
    <col collapsed="false" customWidth="true" hidden="false" outlineLevel="0" max="22" min="22" style="0" width="32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14" t="s">
        <v>32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customFormat="false" ht="15" hidden="false" customHeight="false" outlineLevel="0" collapsed="false">
      <c r="G3" s="15" t="s">
        <v>33</v>
      </c>
      <c r="T3" s="15" t="s">
        <v>34</v>
      </c>
    </row>
    <row r="4" customFormat="false" ht="43.5" hidden="false" customHeight="true" outlineLevel="0" collapsed="false">
      <c r="A4" s="16" t="s">
        <v>35</v>
      </c>
      <c r="B4" s="17" t="s">
        <v>36</v>
      </c>
      <c r="C4" s="17" t="s">
        <v>37</v>
      </c>
      <c r="D4" s="17" t="s">
        <v>38</v>
      </c>
      <c r="E4" s="17" t="s">
        <v>39</v>
      </c>
      <c r="F4" s="17" t="s">
        <v>40</v>
      </c>
      <c r="G4" s="17" t="s">
        <v>41</v>
      </c>
      <c r="H4" s="16" t="s">
        <v>42</v>
      </c>
      <c r="I4" s="16" t="s">
        <v>43</v>
      </c>
      <c r="J4" s="16" t="s">
        <v>44</v>
      </c>
      <c r="K4" s="16" t="s">
        <v>45</v>
      </c>
      <c r="L4" s="16" t="s">
        <v>46</v>
      </c>
      <c r="M4" s="16" t="s">
        <v>47</v>
      </c>
      <c r="N4" s="16" t="s">
        <v>48</v>
      </c>
      <c r="O4" s="16" t="s">
        <v>49</v>
      </c>
      <c r="P4" s="16" t="s">
        <v>50</v>
      </c>
      <c r="Q4" s="16" t="s">
        <v>51</v>
      </c>
      <c r="R4" s="16" t="s">
        <v>52</v>
      </c>
      <c r="S4" s="16" t="s">
        <v>53</v>
      </c>
      <c r="T4" s="17" t="s">
        <v>54</v>
      </c>
      <c r="U4" s="16" t="s">
        <v>55</v>
      </c>
      <c r="V4" s="17" t="s">
        <v>56</v>
      </c>
    </row>
    <row r="5" customFormat="false" ht="15" hidden="false" customHeight="false" outlineLevel="0" collapsed="false">
      <c r="A5" s="18" t="n">
        <v>1</v>
      </c>
      <c r="B5" s="4" t="s">
        <v>57</v>
      </c>
      <c r="C5" s="4" t="s">
        <v>58</v>
      </c>
      <c r="D5" s="19" t="s">
        <v>59</v>
      </c>
      <c r="E5" s="19"/>
      <c r="F5" s="19"/>
      <c r="G5" s="4" t="s">
        <v>60</v>
      </c>
      <c r="H5" s="18" t="str">
        <f aca="false">IFERROR(INDEX('Call Log'!$I$5:$I$134,MATCH($A5&amp;"-R1",'Call Log'!$A$5:$A$134,0))&amp;"","")</f>
        <v/>
      </c>
      <c r="I5" s="18" t="str">
        <f aca="false">IFERROR(INDEX('Call Log'!$I$5:$I$134,MATCH($A5&amp;"-R2",'Call Log'!$A$5:$A$134,0))&amp;"","")</f>
        <v/>
      </c>
      <c r="J5" s="18" t="str">
        <f aca="false">IFERROR(INDEX('Call Log'!$I$5:$I$134,MATCH($A5&amp;"-R3",'Call Log'!$A$5:$A$134,0))&amp;"","")</f>
        <v/>
      </c>
      <c r="K5" s="18" t="str">
        <f aca="false">IFERROR(INDEX('Call Log'!$I$5:$I$134,MATCH($A5&amp;"-R4",'Call Log'!$A$5:$A$134,0))&amp;"","")</f>
        <v/>
      </c>
      <c r="L5" s="18" t="str">
        <f aca="false">IFERROR(INDEX('Call Log'!$I$5:$I$134,MATCH($A5&amp;"-R5",'Call Log'!$A$5:$A$134,0))&amp;"","")</f>
        <v/>
      </c>
      <c r="M5" s="18" t="n">
        <f aca="false">COUNTIF(H5:L5,"?*")</f>
        <v>0</v>
      </c>
      <c r="N5" s="18" t="str">
        <f aca="false">IF(COUNTIFS('Call Log'!$B$5:$B$134,$A5,'Call Log'!$J$5:$J$134,"Teacher")+COUNTIFS('Call Log'!$B$5:$B$134,$A5,'Call Log'!$J$5:$J$134,"Manager")+COUNTIFS('Call Log'!$B$5:$B$134,$A5,'Call Log'!$J$5:$J$134,"Hotline")&gt;0,"Yes","No")</f>
        <v>No</v>
      </c>
      <c r="O5" s="18" t="str">
        <f aca="false">IF(COUNTIFS('Call Log'!$B$5:$B$134,$A5,'Call Log'!$K$5:$K$134,"Yes")&gt;0,"Yes","No")</f>
        <v>No</v>
      </c>
      <c r="P5" s="18" t="str">
        <f aca="false">IF(COUNTIFS('Call Log'!$B$5:$B$134,$A5,'Call Log'!$M$5:$M$134,"Yes")&gt;0,"Yes","No")</f>
        <v>No</v>
      </c>
      <c r="Q5" s="18" t="str">
        <f aca="false">IF(COUNTIFS('Call Log'!$B$5:$B$134,$A5,'Call Log'!$N$5:$N$134,"Yes")&gt;0,"Yes","No")</f>
        <v>No</v>
      </c>
      <c r="R5" s="20" t="str">
        <f aca="false">IFERROR(LOOKUP(2,1/(('Call Log'!$B$5:$B$134=$A5)*('Call Log'!$P$5:$P$134&lt;&gt;"")),'Call Log'!$P$5:$P$134),"")</f>
        <v/>
      </c>
      <c r="S5" s="18" t="str">
        <f aca="false">IFERROR(LOOKUP(2,1/(('Call Log'!$B$5:$B$134=$A5)*('Call Log'!$R$5:$R$134&lt;&gt;"")),'Call Log'!$R$5:$R$134)&amp;"","")</f>
        <v/>
      </c>
      <c r="T5" s="4" t="s">
        <v>22</v>
      </c>
      <c r="U5" s="21" t="str">
        <f aca="false">IFERROR(LOOKUP(2,1/(('Call Log'!$B$5:$B$134=$A5)*('Call Log'!$T$5:$T$134&lt;&gt;"")),'Call Log'!$T$5:$T$134),"")</f>
        <v/>
      </c>
      <c r="V5" s="22"/>
    </row>
    <row r="6" customFormat="false" ht="15" hidden="false" customHeight="false" outlineLevel="0" collapsed="false">
      <c r="A6" s="18" t="n">
        <v>2</v>
      </c>
      <c r="B6" s="4" t="s">
        <v>61</v>
      </c>
      <c r="C6" s="4" t="s">
        <v>58</v>
      </c>
      <c r="D6" s="19" t="s">
        <v>62</v>
      </c>
      <c r="E6" s="19"/>
      <c r="F6" s="19"/>
      <c r="G6" s="4" t="s">
        <v>63</v>
      </c>
      <c r="H6" s="18" t="str">
        <f aca="false">IFERROR(INDEX('Call Log'!$I$5:$I$134,MATCH($A6&amp;"-R1",'Call Log'!$A$5:$A$134,0))&amp;"","")</f>
        <v/>
      </c>
      <c r="I6" s="18" t="str">
        <f aca="false">IFERROR(INDEX('Call Log'!$I$5:$I$134,MATCH($A6&amp;"-R2",'Call Log'!$A$5:$A$134,0))&amp;"","")</f>
        <v/>
      </c>
      <c r="J6" s="18" t="str">
        <f aca="false">IFERROR(INDEX('Call Log'!$I$5:$I$134,MATCH($A6&amp;"-R3",'Call Log'!$A$5:$A$134,0))&amp;"","")</f>
        <v/>
      </c>
      <c r="K6" s="18" t="str">
        <f aca="false">IFERROR(INDEX('Call Log'!$I$5:$I$134,MATCH($A6&amp;"-R4",'Call Log'!$A$5:$A$134,0))&amp;"","")</f>
        <v/>
      </c>
      <c r="L6" s="18" t="str">
        <f aca="false">IFERROR(INDEX('Call Log'!$I$5:$I$134,MATCH($A6&amp;"-R5",'Call Log'!$A$5:$A$134,0))&amp;"","")</f>
        <v/>
      </c>
      <c r="M6" s="18" t="n">
        <f aca="false">COUNTIF(H6:L6,"?*")</f>
        <v>0</v>
      </c>
      <c r="N6" s="18" t="str">
        <f aca="false">IF(COUNTIFS('Call Log'!$B$5:$B$134,$A6,'Call Log'!$J$5:$J$134,"Teacher")+COUNTIFS('Call Log'!$B$5:$B$134,$A6,'Call Log'!$J$5:$J$134,"Manager")+COUNTIFS('Call Log'!$B$5:$B$134,$A6,'Call Log'!$J$5:$J$134,"Hotline")&gt;0,"Yes","No")</f>
        <v>No</v>
      </c>
      <c r="O6" s="18" t="str">
        <f aca="false">IF(COUNTIFS('Call Log'!$B$5:$B$134,$A6,'Call Log'!$K$5:$K$134,"Yes")&gt;0,"Yes","No")</f>
        <v>No</v>
      </c>
      <c r="P6" s="18" t="str">
        <f aca="false">IF(COUNTIFS('Call Log'!$B$5:$B$134,$A6,'Call Log'!$M$5:$M$134,"Yes")&gt;0,"Yes","No")</f>
        <v>No</v>
      </c>
      <c r="Q6" s="18" t="str">
        <f aca="false">IF(COUNTIFS('Call Log'!$B$5:$B$134,$A6,'Call Log'!$N$5:$N$134,"Yes")&gt;0,"Yes","No")</f>
        <v>No</v>
      </c>
      <c r="R6" s="20" t="str">
        <f aca="false">IFERROR(LOOKUP(2,1/(('Call Log'!$B$5:$B$134=$A6)*('Call Log'!$P$5:$P$134&lt;&gt;"")),'Call Log'!$P$5:$P$134),"")</f>
        <v/>
      </c>
      <c r="S6" s="18" t="str">
        <f aca="false">IFERROR(LOOKUP(2,1/(('Call Log'!$B$5:$B$134=$A6)*('Call Log'!$R$5:$R$134&lt;&gt;"")),'Call Log'!$R$5:$R$134)&amp;"","")</f>
        <v/>
      </c>
      <c r="T6" s="4" t="s">
        <v>22</v>
      </c>
      <c r="U6" s="21" t="str">
        <f aca="false">IFERROR(LOOKUP(2,1/(('Call Log'!$B$5:$B$134=$A6)*('Call Log'!$T$5:$T$134&lt;&gt;"")),'Call Log'!$T$5:$T$134),"")</f>
        <v/>
      </c>
      <c r="V6" s="22"/>
    </row>
    <row r="7" customFormat="false" ht="15" hidden="false" customHeight="false" outlineLevel="0" collapsed="false">
      <c r="A7" s="18" t="n">
        <v>3</v>
      </c>
      <c r="B7" s="4" t="s">
        <v>64</v>
      </c>
      <c r="C7" s="4" t="s">
        <v>58</v>
      </c>
      <c r="D7" s="19" t="s">
        <v>65</v>
      </c>
      <c r="E7" s="19"/>
      <c r="F7" s="19"/>
      <c r="G7" s="4" t="s">
        <v>60</v>
      </c>
      <c r="H7" s="18" t="str">
        <f aca="false">IFERROR(INDEX('Call Log'!$I$5:$I$134,MATCH($A7&amp;"-R1",'Call Log'!$A$5:$A$134,0))&amp;"","")</f>
        <v/>
      </c>
      <c r="I7" s="18" t="str">
        <f aca="false">IFERROR(INDEX('Call Log'!$I$5:$I$134,MATCH($A7&amp;"-R2",'Call Log'!$A$5:$A$134,0))&amp;"","")</f>
        <v/>
      </c>
      <c r="J7" s="18" t="str">
        <f aca="false">IFERROR(INDEX('Call Log'!$I$5:$I$134,MATCH($A7&amp;"-R3",'Call Log'!$A$5:$A$134,0))&amp;"","")</f>
        <v/>
      </c>
      <c r="K7" s="18" t="str">
        <f aca="false">IFERROR(INDEX('Call Log'!$I$5:$I$134,MATCH($A7&amp;"-R4",'Call Log'!$A$5:$A$134,0))&amp;"","")</f>
        <v/>
      </c>
      <c r="L7" s="18" t="str">
        <f aca="false">IFERROR(INDEX('Call Log'!$I$5:$I$134,MATCH($A7&amp;"-R5",'Call Log'!$A$5:$A$134,0))&amp;"","")</f>
        <v/>
      </c>
      <c r="M7" s="18" t="n">
        <f aca="false">COUNTIF(H7:L7,"?*")</f>
        <v>0</v>
      </c>
      <c r="N7" s="18" t="str">
        <f aca="false">IF(COUNTIFS('Call Log'!$B$5:$B$134,$A7,'Call Log'!$J$5:$J$134,"Teacher")+COUNTIFS('Call Log'!$B$5:$B$134,$A7,'Call Log'!$J$5:$J$134,"Manager")+COUNTIFS('Call Log'!$B$5:$B$134,$A7,'Call Log'!$J$5:$J$134,"Hotline")&gt;0,"Yes","No")</f>
        <v>No</v>
      </c>
      <c r="O7" s="18" t="str">
        <f aca="false">IF(COUNTIFS('Call Log'!$B$5:$B$134,$A7,'Call Log'!$K$5:$K$134,"Yes")&gt;0,"Yes","No")</f>
        <v>No</v>
      </c>
      <c r="P7" s="18" t="str">
        <f aca="false">IF(COUNTIFS('Call Log'!$B$5:$B$134,$A7,'Call Log'!$M$5:$M$134,"Yes")&gt;0,"Yes","No")</f>
        <v>No</v>
      </c>
      <c r="Q7" s="18" t="str">
        <f aca="false">IF(COUNTIFS('Call Log'!$B$5:$B$134,$A7,'Call Log'!$N$5:$N$134,"Yes")&gt;0,"Yes","No")</f>
        <v>No</v>
      </c>
      <c r="R7" s="20" t="str">
        <f aca="false">IFERROR(LOOKUP(2,1/(('Call Log'!$B$5:$B$134=$A7)*('Call Log'!$P$5:$P$134&lt;&gt;"")),'Call Log'!$P$5:$P$134),"")</f>
        <v/>
      </c>
      <c r="S7" s="18" t="str">
        <f aca="false">IFERROR(LOOKUP(2,1/(('Call Log'!$B$5:$B$134=$A7)*('Call Log'!$R$5:$R$134&lt;&gt;"")),'Call Log'!$R$5:$R$134)&amp;"","")</f>
        <v/>
      </c>
      <c r="T7" s="4" t="s">
        <v>22</v>
      </c>
      <c r="U7" s="21" t="str">
        <f aca="false">IFERROR(LOOKUP(2,1/(('Call Log'!$B$5:$B$134=$A7)*('Call Log'!$T$5:$T$134&lt;&gt;"")),'Call Log'!$T$5:$T$134),"")</f>
        <v/>
      </c>
      <c r="V7" s="22"/>
    </row>
    <row r="8" customFormat="false" ht="15" hidden="false" customHeight="false" outlineLevel="0" collapsed="false">
      <c r="A8" s="18" t="n">
        <v>4</v>
      </c>
      <c r="B8" s="4" t="s">
        <v>66</v>
      </c>
      <c r="C8" s="4" t="s">
        <v>58</v>
      </c>
      <c r="D8" s="19" t="s">
        <v>67</v>
      </c>
      <c r="E8" s="19"/>
      <c r="F8" s="19"/>
      <c r="G8" s="4"/>
      <c r="H8" s="18" t="str">
        <f aca="false">IFERROR(INDEX('Call Log'!$I$5:$I$134,MATCH($A8&amp;"-R1",'Call Log'!$A$5:$A$134,0))&amp;"","")</f>
        <v/>
      </c>
      <c r="I8" s="18" t="str">
        <f aca="false">IFERROR(INDEX('Call Log'!$I$5:$I$134,MATCH($A8&amp;"-R2",'Call Log'!$A$5:$A$134,0))&amp;"","")</f>
        <v/>
      </c>
      <c r="J8" s="18" t="str">
        <f aca="false">IFERROR(INDEX('Call Log'!$I$5:$I$134,MATCH($A8&amp;"-R3",'Call Log'!$A$5:$A$134,0))&amp;"","")</f>
        <v/>
      </c>
      <c r="K8" s="18" t="str">
        <f aca="false">IFERROR(INDEX('Call Log'!$I$5:$I$134,MATCH($A8&amp;"-R4",'Call Log'!$A$5:$A$134,0))&amp;"","")</f>
        <v/>
      </c>
      <c r="L8" s="18" t="str">
        <f aca="false">IFERROR(INDEX('Call Log'!$I$5:$I$134,MATCH($A8&amp;"-R5",'Call Log'!$A$5:$A$134,0))&amp;"","")</f>
        <v/>
      </c>
      <c r="M8" s="18" t="n">
        <f aca="false">COUNTIF(H8:L8,"?*")</f>
        <v>0</v>
      </c>
      <c r="N8" s="18" t="str">
        <f aca="false">IF(COUNTIFS('Call Log'!$B$5:$B$134,$A8,'Call Log'!$J$5:$J$134,"Teacher")+COUNTIFS('Call Log'!$B$5:$B$134,$A8,'Call Log'!$J$5:$J$134,"Manager")+COUNTIFS('Call Log'!$B$5:$B$134,$A8,'Call Log'!$J$5:$J$134,"Hotline")&gt;0,"Yes","No")</f>
        <v>No</v>
      </c>
      <c r="O8" s="18" t="str">
        <f aca="false">IF(COUNTIFS('Call Log'!$B$5:$B$134,$A8,'Call Log'!$K$5:$K$134,"Yes")&gt;0,"Yes","No")</f>
        <v>No</v>
      </c>
      <c r="P8" s="18" t="str">
        <f aca="false">IF(COUNTIFS('Call Log'!$B$5:$B$134,$A8,'Call Log'!$M$5:$M$134,"Yes")&gt;0,"Yes","No")</f>
        <v>No</v>
      </c>
      <c r="Q8" s="18" t="str">
        <f aca="false">IF(COUNTIFS('Call Log'!$B$5:$B$134,$A8,'Call Log'!$N$5:$N$134,"Yes")&gt;0,"Yes","No")</f>
        <v>No</v>
      </c>
      <c r="R8" s="20" t="str">
        <f aca="false">IFERROR(LOOKUP(2,1/(('Call Log'!$B$5:$B$134=$A8)*('Call Log'!$P$5:$P$134&lt;&gt;"")),'Call Log'!$P$5:$P$134),"")</f>
        <v/>
      </c>
      <c r="S8" s="18" t="str">
        <f aca="false">IFERROR(LOOKUP(2,1/(('Call Log'!$B$5:$B$134=$A8)*('Call Log'!$R$5:$R$134&lt;&gt;"")),'Call Log'!$R$5:$R$134)&amp;"","")</f>
        <v/>
      </c>
      <c r="T8" s="4" t="s">
        <v>22</v>
      </c>
      <c r="U8" s="21" t="str">
        <f aca="false">IFERROR(LOOKUP(2,1/(('Call Log'!$B$5:$B$134=$A8)*('Call Log'!$T$5:$T$134&lt;&gt;"")),'Call Log'!$T$5:$T$134),"")</f>
        <v/>
      </c>
      <c r="V8" s="22"/>
    </row>
    <row r="9" customFormat="false" ht="15" hidden="false" customHeight="false" outlineLevel="0" collapsed="false">
      <c r="A9" s="18" t="n">
        <v>5</v>
      </c>
      <c r="B9" s="4" t="s">
        <v>68</v>
      </c>
      <c r="C9" s="4" t="s">
        <v>69</v>
      </c>
      <c r="D9" s="19" t="s">
        <v>70</v>
      </c>
      <c r="E9" s="19"/>
      <c r="F9" s="19"/>
      <c r="G9" s="4" t="s">
        <v>60</v>
      </c>
      <c r="H9" s="18" t="str">
        <f aca="false">IFERROR(INDEX('Call Log'!$I$5:$I$134,MATCH($A9&amp;"-R1",'Call Log'!$A$5:$A$134,0))&amp;"","")</f>
        <v/>
      </c>
      <c r="I9" s="18" t="str">
        <f aca="false">IFERROR(INDEX('Call Log'!$I$5:$I$134,MATCH($A9&amp;"-R2",'Call Log'!$A$5:$A$134,0))&amp;"","")</f>
        <v/>
      </c>
      <c r="J9" s="18" t="str">
        <f aca="false">IFERROR(INDEX('Call Log'!$I$5:$I$134,MATCH($A9&amp;"-R3",'Call Log'!$A$5:$A$134,0))&amp;"","")</f>
        <v/>
      </c>
      <c r="K9" s="18" t="str">
        <f aca="false">IFERROR(INDEX('Call Log'!$I$5:$I$134,MATCH($A9&amp;"-R4",'Call Log'!$A$5:$A$134,0))&amp;"","")</f>
        <v/>
      </c>
      <c r="L9" s="18" t="str">
        <f aca="false">IFERROR(INDEX('Call Log'!$I$5:$I$134,MATCH($A9&amp;"-R5",'Call Log'!$A$5:$A$134,0))&amp;"","")</f>
        <v/>
      </c>
      <c r="M9" s="18" t="n">
        <f aca="false">COUNTIF(H9:L9,"?*")</f>
        <v>0</v>
      </c>
      <c r="N9" s="18" t="str">
        <f aca="false">IF(COUNTIFS('Call Log'!$B$5:$B$134,$A9,'Call Log'!$J$5:$J$134,"Teacher")+COUNTIFS('Call Log'!$B$5:$B$134,$A9,'Call Log'!$J$5:$J$134,"Manager")+COUNTIFS('Call Log'!$B$5:$B$134,$A9,'Call Log'!$J$5:$J$134,"Hotline")&gt;0,"Yes","No")</f>
        <v>No</v>
      </c>
      <c r="O9" s="18" t="str">
        <f aca="false">IF(COUNTIFS('Call Log'!$B$5:$B$134,$A9,'Call Log'!$K$5:$K$134,"Yes")&gt;0,"Yes","No")</f>
        <v>No</v>
      </c>
      <c r="P9" s="18" t="str">
        <f aca="false">IF(COUNTIFS('Call Log'!$B$5:$B$134,$A9,'Call Log'!$M$5:$M$134,"Yes")&gt;0,"Yes","No")</f>
        <v>No</v>
      </c>
      <c r="Q9" s="18" t="str">
        <f aca="false">IF(COUNTIFS('Call Log'!$B$5:$B$134,$A9,'Call Log'!$N$5:$N$134,"Yes")&gt;0,"Yes","No")</f>
        <v>No</v>
      </c>
      <c r="R9" s="20" t="str">
        <f aca="false">IFERROR(LOOKUP(2,1/(('Call Log'!$B$5:$B$134=$A9)*('Call Log'!$P$5:$P$134&lt;&gt;"")),'Call Log'!$P$5:$P$134),"")</f>
        <v/>
      </c>
      <c r="S9" s="18" t="str">
        <f aca="false">IFERROR(LOOKUP(2,1/(('Call Log'!$B$5:$B$134=$A9)*('Call Log'!$R$5:$R$134&lt;&gt;"")),'Call Log'!$R$5:$R$134)&amp;"","")</f>
        <v/>
      </c>
      <c r="T9" s="4" t="s">
        <v>22</v>
      </c>
      <c r="U9" s="21" t="str">
        <f aca="false">IFERROR(LOOKUP(2,1/(('Call Log'!$B$5:$B$134=$A9)*('Call Log'!$T$5:$T$134&lt;&gt;"")),'Call Log'!$T$5:$T$134),"")</f>
        <v/>
      </c>
      <c r="V9" s="22"/>
    </row>
    <row r="10" customFormat="false" ht="15" hidden="false" customHeight="false" outlineLevel="0" collapsed="false">
      <c r="A10" s="18" t="n">
        <v>6</v>
      </c>
      <c r="B10" s="4" t="s">
        <v>71</v>
      </c>
      <c r="C10" s="4" t="s">
        <v>69</v>
      </c>
      <c r="D10" s="19" t="s">
        <v>72</v>
      </c>
      <c r="E10" s="19"/>
      <c r="F10" s="19"/>
      <c r="G10" s="4"/>
      <c r="H10" s="18" t="str">
        <f aca="false">IFERROR(INDEX('Call Log'!$I$5:$I$134,MATCH($A10&amp;"-R1",'Call Log'!$A$5:$A$134,0))&amp;"","")</f>
        <v/>
      </c>
      <c r="I10" s="18" t="str">
        <f aca="false">IFERROR(INDEX('Call Log'!$I$5:$I$134,MATCH($A10&amp;"-R2",'Call Log'!$A$5:$A$134,0))&amp;"","")</f>
        <v/>
      </c>
      <c r="J10" s="18" t="str">
        <f aca="false">IFERROR(INDEX('Call Log'!$I$5:$I$134,MATCH($A10&amp;"-R3",'Call Log'!$A$5:$A$134,0))&amp;"","")</f>
        <v/>
      </c>
      <c r="K10" s="18" t="str">
        <f aca="false">IFERROR(INDEX('Call Log'!$I$5:$I$134,MATCH($A10&amp;"-R4",'Call Log'!$A$5:$A$134,0))&amp;"","")</f>
        <v/>
      </c>
      <c r="L10" s="18" t="str">
        <f aca="false">IFERROR(INDEX('Call Log'!$I$5:$I$134,MATCH($A10&amp;"-R5",'Call Log'!$A$5:$A$134,0))&amp;"","")</f>
        <v/>
      </c>
      <c r="M10" s="18" t="n">
        <f aca="false">COUNTIF(H10:L10,"?*")</f>
        <v>0</v>
      </c>
      <c r="N10" s="18" t="str">
        <f aca="false">IF(COUNTIFS('Call Log'!$B$5:$B$134,$A10,'Call Log'!$J$5:$J$134,"Teacher")+COUNTIFS('Call Log'!$B$5:$B$134,$A10,'Call Log'!$J$5:$J$134,"Manager")+COUNTIFS('Call Log'!$B$5:$B$134,$A10,'Call Log'!$J$5:$J$134,"Hotline")&gt;0,"Yes","No")</f>
        <v>No</v>
      </c>
      <c r="O10" s="18" t="str">
        <f aca="false">IF(COUNTIFS('Call Log'!$B$5:$B$134,$A10,'Call Log'!$K$5:$K$134,"Yes")&gt;0,"Yes","No")</f>
        <v>No</v>
      </c>
      <c r="P10" s="18" t="str">
        <f aca="false">IF(COUNTIFS('Call Log'!$B$5:$B$134,$A10,'Call Log'!$M$5:$M$134,"Yes")&gt;0,"Yes","No")</f>
        <v>No</v>
      </c>
      <c r="Q10" s="18" t="str">
        <f aca="false">IF(COUNTIFS('Call Log'!$B$5:$B$134,$A10,'Call Log'!$N$5:$N$134,"Yes")&gt;0,"Yes","No")</f>
        <v>No</v>
      </c>
      <c r="R10" s="20" t="str">
        <f aca="false">IFERROR(LOOKUP(2,1/(('Call Log'!$B$5:$B$134=$A10)*('Call Log'!$P$5:$P$134&lt;&gt;"")),'Call Log'!$P$5:$P$134),"")</f>
        <v/>
      </c>
      <c r="S10" s="18" t="str">
        <f aca="false">IFERROR(LOOKUP(2,1/(('Call Log'!$B$5:$B$134=$A10)*('Call Log'!$R$5:$R$134&lt;&gt;"")),'Call Log'!$R$5:$R$134)&amp;"","")</f>
        <v/>
      </c>
      <c r="T10" s="4" t="s">
        <v>22</v>
      </c>
      <c r="U10" s="21" t="str">
        <f aca="false">IFERROR(LOOKUP(2,1/(('Call Log'!$B$5:$B$134=$A10)*('Call Log'!$T$5:$T$134&lt;&gt;"")),'Call Log'!$T$5:$T$134),"")</f>
        <v/>
      </c>
      <c r="V10" s="22"/>
    </row>
    <row r="11" customFormat="false" ht="15" hidden="false" customHeight="false" outlineLevel="0" collapsed="false">
      <c r="A11" s="18" t="n">
        <v>7</v>
      </c>
      <c r="B11" s="4" t="s">
        <v>73</v>
      </c>
      <c r="C11" s="4" t="s">
        <v>69</v>
      </c>
      <c r="D11" s="19" t="s">
        <v>74</v>
      </c>
      <c r="E11" s="19" t="s">
        <v>75</v>
      </c>
      <c r="F11" s="19"/>
      <c r="G11" s="4"/>
      <c r="H11" s="18" t="str">
        <f aca="false">IFERROR(INDEX('Call Log'!$I$5:$I$134,MATCH($A11&amp;"-R1",'Call Log'!$A$5:$A$134,0))&amp;"","")</f>
        <v/>
      </c>
      <c r="I11" s="18" t="str">
        <f aca="false">IFERROR(INDEX('Call Log'!$I$5:$I$134,MATCH($A11&amp;"-R2",'Call Log'!$A$5:$A$134,0))&amp;"","")</f>
        <v/>
      </c>
      <c r="J11" s="18" t="str">
        <f aca="false">IFERROR(INDEX('Call Log'!$I$5:$I$134,MATCH($A11&amp;"-R3",'Call Log'!$A$5:$A$134,0))&amp;"","")</f>
        <v/>
      </c>
      <c r="K11" s="18" t="str">
        <f aca="false">IFERROR(INDEX('Call Log'!$I$5:$I$134,MATCH($A11&amp;"-R4",'Call Log'!$A$5:$A$134,0))&amp;"","")</f>
        <v/>
      </c>
      <c r="L11" s="18" t="str">
        <f aca="false">IFERROR(INDEX('Call Log'!$I$5:$I$134,MATCH($A11&amp;"-R5",'Call Log'!$A$5:$A$134,0))&amp;"","")</f>
        <v/>
      </c>
      <c r="M11" s="18" t="n">
        <f aca="false">COUNTIF(H11:L11,"?*")</f>
        <v>0</v>
      </c>
      <c r="N11" s="18" t="str">
        <f aca="false">IF(COUNTIFS('Call Log'!$B$5:$B$134,$A11,'Call Log'!$J$5:$J$134,"Teacher")+COUNTIFS('Call Log'!$B$5:$B$134,$A11,'Call Log'!$J$5:$J$134,"Manager")+COUNTIFS('Call Log'!$B$5:$B$134,$A11,'Call Log'!$J$5:$J$134,"Hotline")&gt;0,"Yes","No")</f>
        <v>No</v>
      </c>
      <c r="O11" s="18" t="str">
        <f aca="false">IF(COUNTIFS('Call Log'!$B$5:$B$134,$A11,'Call Log'!$K$5:$K$134,"Yes")&gt;0,"Yes","No")</f>
        <v>No</v>
      </c>
      <c r="P11" s="18" t="str">
        <f aca="false">IF(COUNTIFS('Call Log'!$B$5:$B$134,$A11,'Call Log'!$M$5:$M$134,"Yes")&gt;0,"Yes","No")</f>
        <v>No</v>
      </c>
      <c r="Q11" s="18" t="str">
        <f aca="false">IF(COUNTIFS('Call Log'!$B$5:$B$134,$A11,'Call Log'!$N$5:$N$134,"Yes")&gt;0,"Yes","No")</f>
        <v>No</v>
      </c>
      <c r="R11" s="20" t="str">
        <f aca="false">IFERROR(LOOKUP(2,1/(('Call Log'!$B$5:$B$134=$A11)*('Call Log'!$P$5:$P$134&lt;&gt;"")),'Call Log'!$P$5:$P$134),"")</f>
        <v/>
      </c>
      <c r="S11" s="18" t="str">
        <f aca="false">IFERROR(LOOKUP(2,1/(('Call Log'!$B$5:$B$134=$A11)*('Call Log'!$R$5:$R$134&lt;&gt;"")),'Call Log'!$R$5:$R$134)&amp;"","")</f>
        <v/>
      </c>
      <c r="T11" s="4" t="s">
        <v>22</v>
      </c>
      <c r="U11" s="21" t="str">
        <f aca="false">IFERROR(LOOKUP(2,1/(('Call Log'!$B$5:$B$134=$A11)*('Call Log'!$T$5:$T$134&lt;&gt;"")),'Call Log'!$T$5:$T$134),"")</f>
        <v/>
      </c>
      <c r="V11" s="22"/>
    </row>
    <row r="12" customFormat="false" ht="15" hidden="false" customHeight="false" outlineLevel="0" collapsed="false">
      <c r="A12" s="18" t="n">
        <v>8</v>
      </c>
      <c r="B12" s="4" t="s">
        <v>76</v>
      </c>
      <c r="C12" s="4" t="s">
        <v>77</v>
      </c>
      <c r="D12" s="19" t="s">
        <v>78</v>
      </c>
      <c r="E12" s="19"/>
      <c r="F12" s="19"/>
      <c r="G12" s="4" t="s">
        <v>63</v>
      </c>
      <c r="H12" s="18" t="str">
        <f aca="false">IFERROR(INDEX('Call Log'!$I$5:$I$134,MATCH($A12&amp;"-R1",'Call Log'!$A$5:$A$134,0))&amp;"","")</f>
        <v/>
      </c>
      <c r="I12" s="18" t="str">
        <f aca="false">IFERROR(INDEX('Call Log'!$I$5:$I$134,MATCH($A12&amp;"-R2",'Call Log'!$A$5:$A$134,0))&amp;"","")</f>
        <v/>
      </c>
      <c r="J12" s="18" t="str">
        <f aca="false">IFERROR(INDEX('Call Log'!$I$5:$I$134,MATCH($A12&amp;"-R3",'Call Log'!$A$5:$A$134,0))&amp;"","")</f>
        <v/>
      </c>
      <c r="K12" s="18" t="str">
        <f aca="false">IFERROR(INDEX('Call Log'!$I$5:$I$134,MATCH($A12&amp;"-R4",'Call Log'!$A$5:$A$134,0))&amp;"","")</f>
        <v/>
      </c>
      <c r="L12" s="18" t="str">
        <f aca="false">IFERROR(INDEX('Call Log'!$I$5:$I$134,MATCH($A12&amp;"-R5",'Call Log'!$A$5:$A$134,0))&amp;"","")</f>
        <v/>
      </c>
      <c r="M12" s="18" t="n">
        <f aca="false">COUNTIF(H12:L12,"?*")</f>
        <v>0</v>
      </c>
      <c r="N12" s="18" t="str">
        <f aca="false">IF(COUNTIFS('Call Log'!$B$5:$B$134,$A12,'Call Log'!$J$5:$J$134,"Teacher")+COUNTIFS('Call Log'!$B$5:$B$134,$A12,'Call Log'!$J$5:$J$134,"Manager")+COUNTIFS('Call Log'!$B$5:$B$134,$A12,'Call Log'!$J$5:$J$134,"Hotline")&gt;0,"Yes","No")</f>
        <v>No</v>
      </c>
      <c r="O12" s="18" t="str">
        <f aca="false">IF(COUNTIFS('Call Log'!$B$5:$B$134,$A12,'Call Log'!$K$5:$K$134,"Yes")&gt;0,"Yes","No")</f>
        <v>No</v>
      </c>
      <c r="P12" s="18" t="str">
        <f aca="false">IF(COUNTIFS('Call Log'!$B$5:$B$134,$A12,'Call Log'!$M$5:$M$134,"Yes")&gt;0,"Yes","No")</f>
        <v>No</v>
      </c>
      <c r="Q12" s="18" t="str">
        <f aca="false">IF(COUNTIFS('Call Log'!$B$5:$B$134,$A12,'Call Log'!$N$5:$N$134,"Yes")&gt;0,"Yes","No")</f>
        <v>No</v>
      </c>
      <c r="R12" s="20" t="str">
        <f aca="false">IFERROR(LOOKUP(2,1/(('Call Log'!$B$5:$B$134=$A12)*('Call Log'!$P$5:$P$134&lt;&gt;"")),'Call Log'!$P$5:$P$134),"")</f>
        <v/>
      </c>
      <c r="S12" s="18" t="str">
        <f aca="false">IFERROR(LOOKUP(2,1/(('Call Log'!$B$5:$B$134=$A12)*('Call Log'!$R$5:$R$134&lt;&gt;"")),'Call Log'!$R$5:$R$134)&amp;"","")</f>
        <v/>
      </c>
      <c r="T12" s="4" t="s">
        <v>22</v>
      </c>
      <c r="U12" s="21" t="str">
        <f aca="false">IFERROR(LOOKUP(2,1/(('Call Log'!$B$5:$B$134=$A12)*('Call Log'!$T$5:$T$134&lt;&gt;"")),'Call Log'!$T$5:$T$134),"")</f>
        <v/>
      </c>
      <c r="V12" s="22"/>
    </row>
    <row r="13" customFormat="false" ht="15" hidden="false" customHeight="false" outlineLevel="0" collapsed="false">
      <c r="A13" s="18" t="n">
        <v>9</v>
      </c>
      <c r="B13" s="4" t="s">
        <v>79</v>
      </c>
      <c r="C13" s="4" t="s">
        <v>77</v>
      </c>
      <c r="D13" s="19" t="s">
        <v>80</v>
      </c>
      <c r="E13" s="19"/>
      <c r="F13" s="19"/>
      <c r="G13" s="4" t="s">
        <v>60</v>
      </c>
      <c r="H13" s="18" t="str">
        <f aca="false">IFERROR(INDEX('Call Log'!$I$5:$I$134,MATCH($A13&amp;"-R1",'Call Log'!$A$5:$A$134,0))&amp;"","")</f>
        <v/>
      </c>
      <c r="I13" s="18" t="str">
        <f aca="false">IFERROR(INDEX('Call Log'!$I$5:$I$134,MATCH($A13&amp;"-R2",'Call Log'!$A$5:$A$134,0))&amp;"","")</f>
        <v/>
      </c>
      <c r="J13" s="18" t="str">
        <f aca="false">IFERROR(INDEX('Call Log'!$I$5:$I$134,MATCH($A13&amp;"-R3",'Call Log'!$A$5:$A$134,0))&amp;"","")</f>
        <v/>
      </c>
      <c r="K13" s="18" t="str">
        <f aca="false">IFERROR(INDEX('Call Log'!$I$5:$I$134,MATCH($A13&amp;"-R4",'Call Log'!$A$5:$A$134,0))&amp;"","")</f>
        <v/>
      </c>
      <c r="L13" s="18" t="str">
        <f aca="false">IFERROR(INDEX('Call Log'!$I$5:$I$134,MATCH($A13&amp;"-R5",'Call Log'!$A$5:$A$134,0))&amp;"","")</f>
        <v/>
      </c>
      <c r="M13" s="18" t="n">
        <f aca="false">COUNTIF(H13:L13,"?*")</f>
        <v>0</v>
      </c>
      <c r="N13" s="18" t="str">
        <f aca="false">IF(COUNTIFS('Call Log'!$B$5:$B$134,$A13,'Call Log'!$J$5:$J$134,"Teacher")+COUNTIFS('Call Log'!$B$5:$B$134,$A13,'Call Log'!$J$5:$J$134,"Manager")+COUNTIFS('Call Log'!$B$5:$B$134,$A13,'Call Log'!$J$5:$J$134,"Hotline")&gt;0,"Yes","No")</f>
        <v>No</v>
      </c>
      <c r="O13" s="18" t="str">
        <f aca="false">IF(COUNTIFS('Call Log'!$B$5:$B$134,$A13,'Call Log'!$K$5:$K$134,"Yes")&gt;0,"Yes","No")</f>
        <v>No</v>
      </c>
      <c r="P13" s="18" t="str">
        <f aca="false">IF(COUNTIFS('Call Log'!$B$5:$B$134,$A13,'Call Log'!$M$5:$M$134,"Yes")&gt;0,"Yes","No")</f>
        <v>No</v>
      </c>
      <c r="Q13" s="18" t="str">
        <f aca="false">IF(COUNTIFS('Call Log'!$B$5:$B$134,$A13,'Call Log'!$N$5:$N$134,"Yes")&gt;0,"Yes","No")</f>
        <v>No</v>
      </c>
      <c r="R13" s="20" t="str">
        <f aca="false">IFERROR(LOOKUP(2,1/(('Call Log'!$B$5:$B$134=$A13)*('Call Log'!$P$5:$P$134&lt;&gt;"")),'Call Log'!$P$5:$P$134),"")</f>
        <v/>
      </c>
      <c r="S13" s="18" t="str">
        <f aca="false">IFERROR(LOOKUP(2,1/(('Call Log'!$B$5:$B$134=$A13)*('Call Log'!$R$5:$R$134&lt;&gt;"")),'Call Log'!$R$5:$R$134)&amp;"","")</f>
        <v/>
      </c>
      <c r="T13" s="4" t="s">
        <v>22</v>
      </c>
      <c r="U13" s="21" t="str">
        <f aca="false">IFERROR(LOOKUP(2,1/(('Call Log'!$B$5:$B$134=$A13)*('Call Log'!$T$5:$T$134&lt;&gt;"")),'Call Log'!$T$5:$T$134),"")</f>
        <v/>
      </c>
      <c r="V13" s="22"/>
    </row>
    <row r="14" customFormat="false" ht="15" hidden="false" customHeight="false" outlineLevel="0" collapsed="false">
      <c r="A14" s="18" t="n">
        <v>10</v>
      </c>
      <c r="B14" s="4" t="s">
        <v>81</v>
      </c>
      <c r="C14" s="4" t="s">
        <v>77</v>
      </c>
      <c r="D14" s="19" t="s">
        <v>82</v>
      </c>
      <c r="E14" s="19"/>
      <c r="F14" s="19"/>
      <c r="G14" s="4"/>
      <c r="H14" s="18" t="str">
        <f aca="false">IFERROR(INDEX('Call Log'!$I$5:$I$134,MATCH($A14&amp;"-R1",'Call Log'!$A$5:$A$134,0))&amp;"","")</f>
        <v/>
      </c>
      <c r="I14" s="18" t="str">
        <f aca="false">IFERROR(INDEX('Call Log'!$I$5:$I$134,MATCH($A14&amp;"-R2",'Call Log'!$A$5:$A$134,0))&amp;"","")</f>
        <v/>
      </c>
      <c r="J14" s="18" t="str">
        <f aca="false">IFERROR(INDEX('Call Log'!$I$5:$I$134,MATCH($A14&amp;"-R3",'Call Log'!$A$5:$A$134,0))&amp;"","")</f>
        <v/>
      </c>
      <c r="K14" s="18" t="str">
        <f aca="false">IFERROR(INDEX('Call Log'!$I$5:$I$134,MATCH($A14&amp;"-R4",'Call Log'!$A$5:$A$134,0))&amp;"","")</f>
        <v/>
      </c>
      <c r="L14" s="18" t="str">
        <f aca="false">IFERROR(INDEX('Call Log'!$I$5:$I$134,MATCH($A14&amp;"-R5",'Call Log'!$A$5:$A$134,0))&amp;"","")</f>
        <v/>
      </c>
      <c r="M14" s="18" t="n">
        <f aca="false">COUNTIF(H14:L14,"?*")</f>
        <v>0</v>
      </c>
      <c r="N14" s="18" t="str">
        <f aca="false">IF(COUNTIFS('Call Log'!$B$5:$B$134,$A14,'Call Log'!$J$5:$J$134,"Teacher")+COUNTIFS('Call Log'!$B$5:$B$134,$A14,'Call Log'!$J$5:$J$134,"Manager")+COUNTIFS('Call Log'!$B$5:$B$134,$A14,'Call Log'!$J$5:$J$134,"Hotline")&gt;0,"Yes","No")</f>
        <v>No</v>
      </c>
      <c r="O14" s="18" t="str">
        <f aca="false">IF(COUNTIFS('Call Log'!$B$5:$B$134,$A14,'Call Log'!$K$5:$K$134,"Yes")&gt;0,"Yes","No")</f>
        <v>No</v>
      </c>
      <c r="P14" s="18" t="str">
        <f aca="false">IF(COUNTIFS('Call Log'!$B$5:$B$134,$A14,'Call Log'!$M$5:$M$134,"Yes")&gt;0,"Yes","No")</f>
        <v>No</v>
      </c>
      <c r="Q14" s="18" t="str">
        <f aca="false">IF(COUNTIFS('Call Log'!$B$5:$B$134,$A14,'Call Log'!$N$5:$N$134,"Yes")&gt;0,"Yes","No")</f>
        <v>No</v>
      </c>
      <c r="R14" s="20" t="str">
        <f aca="false">IFERROR(LOOKUP(2,1/(('Call Log'!$B$5:$B$134=$A14)*('Call Log'!$P$5:$P$134&lt;&gt;"")),'Call Log'!$P$5:$P$134),"")</f>
        <v/>
      </c>
      <c r="S14" s="18" t="str">
        <f aca="false">IFERROR(LOOKUP(2,1/(('Call Log'!$B$5:$B$134=$A14)*('Call Log'!$R$5:$R$134&lt;&gt;"")),'Call Log'!$R$5:$R$134)&amp;"","")</f>
        <v/>
      </c>
      <c r="T14" s="4" t="s">
        <v>22</v>
      </c>
      <c r="U14" s="21" t="str">
        <f aca="false">IFERROR(LOOKUP(2,1/(('Call Log'!$B$5:$B$134=$A14)*('Call Log'!$T$5:$T$134&lt;&gt;"")),'Call Log'!$T$5:$T$134),"")</f>
        <v/>
      </c>
      <c r="V14" s="22"/>
    </row>
    <row r="15" customFormat="false" ht="15" hidden="false" customHeight="false" outlineLevel="0" collapsed="false">
      <c r="A15" s="18" t="n">
        <v>11</v>
      </c>
      <c r="B15" s="4" t="s">
        <v>83</v>
      </c>
      <c r="C15" s="4" t="s">
        <v>77</v>
      </c>
      <c r="D15" s="19" t="s">
        <v>84</v>
      </c>
      <c r="E15" s="19"/>
      <c r="F15" s="19"/>
      <c r="G15" s="4"/>
      <c r="H15" s="18" t="str">
        <f aca="false">IFERROR(INDEX('Call Log'!$I$5:$I$134,MATCH($A15&amp;"-R1",'Call Log'!$A$5:$A$134,0))&amp;"","")</f>
        <v/>
      </c>
      <c r="I15" s="18" t="str">
        <f aca="false">IFERROR(INDEX('Call Log'!$I$5:$I$134,MATCH($A15&amp;"-R2",'Call Log'!$A$5:$A$134,0))&amp;"","")</f>
        <v/>
      </c>
      <c r="J15" s="18" t="str">
        <f aca="false">IFERROR(INDEX('Call Log'!$I$5:$I$134,MATCH($A15&amp;"-R3",'Call Log'!$A$5:$A$134,0))&amp;"","")</f>
        <v/>
      </c>
      <c r="K15" s="18" t="str">
        <f aca="false">IFERROR(INDEX('Call Log'!$I$5:$I$134,MATCH($A15&amp;"-R4",'Call Log'!$A$5:$A$134,0))&amp;"","")</f>
        <v/>
      </c>
      <c r="L15" s="18" t="str">
        <f aca="false">IFERROR(INDEX('Call Log'!$I$5:$I$134,MATCH($A15&amp;"-R5",'Call Log'!$A$5:$A$134,0))&amp;"","")</f>
        <v/>
      </c>
      <c r="M15" s="18" t="n">
        <f aca="false">COUNTIF(H15:L15,"?*")</f>
        <v>0</v>
      </c>
      <c r="N15" s="18" t="str">
        <f aca="false">IF(COUNTIFS('Call Log'!$B$5:$B$134,$A15,'Call Log'!$J$5:$J$134,"Teacher")+COUNTIFS('Call Log'!$B$5:$B$134,$A15,'Call Log'!$J$5:$J$134,"Manager")+COUNTIFS('Call Log'!$B$5:$B$134,$A15,'Call Log'!$J$5:$J$134,"Hotline")&gt;0,"Yes","No")</f>
        <v>No</v>
      </c>
      <c r="O15" s="18" t="str">
        <f aca="false">IF(COUNTIFS('Call Log'!$B$5:$B$134,$A15,'Call Log'!$K$5:$K$134,"Yes")&gt;0,"Yes","No")</f>
        <v>No</v>
      </c>
      <c r="P15" s="18" t="str">
        <f aca="false">IF(COUNTIFS('Call Log'!$B$5:$B$134,$A15,'Call Log'!$M$5:$M$134,"Yes")&gt;0,"Yes","No")</f>
        <v>No</v>
      </c>
      <c r="Q15" s="18" t="str">
        <f aca="false">IF(COUNTIFS('Call Log'!$B$5:$B$134,$A15,'Call Log'!$N$5:$N$134,"Yes")&gt;0,"Yes","No")</f>
        <v>No</v>
      </c>
      <c r="R15" s="20" t="str">
        <f aca="false">IFERROR(LOOKUP(2,1/(('Call Log'!$B$5:$B$134=$A15)*('Call Log'!$P$5:$P$134&lt;&gt;"")),'Call Log'!$P$5:$P$134),"")</f>
        <v/>
      </c>
      <c r="S15" s="18" t="str">
        <f aca="false">IFERROR(LOOKUP(2,1/(('Call Log'!$B$5:$B$134=$A15)*('Call Log'!$R$5:$R$134&lt;&gt;"")),'Call Log'!$R$5:$R$134)&amp;"","")</f>
        <v/>
      </c>
      <c r="T15" s="4" t="s">
        <v>22</v>
      </c>
      <c r="U15" s="21" t="str">
        <f aca="false">IFERROR(LOOKUP(2,1/(('Call Log'!$B$5:$B$134=$A15)*('Call Log'!$T$5:$T$134&lt;&gt;"")),'Call Log'!$T$5:$T$134),"")</f>
        <v/>
      </c>
      <c r="V15" s="22"/>
    </row>
    <row r="16" customFormat="false" ht="15" hidden="false" customHeight="false" outlineLevel="0" collapsed="false">
      <c r="A16" s="18" t="n">
        <v>12</v>
      </c>
      <c r="B16" s="4" t="s">
        <v>85</v>
      </c>
      <c r="C16" s="4" t="s">
        <v>77</v>
      </c>
      <c r="D16" s="19" t="s">
        <v>86</v>
      </c>
      <c r="E16" s="19" t="s">
        <v>87</v>
      </c>
      <c r="F16" s="19" t="s">
        <v>88</v>
      </c>
      <c r="G16" s="4"/>
      <c r="H16" s="18" t="str">
        <f aca="false">IFERROR(INDEX('Call Log'!$I$5:$I$134,MATCH($A16&amp;"-R1",'Call Log'!$A$5:$A$134,0))&amp;"","")</f>
        <v/>
      </c>
      <c r="I16" s="18" t="str">
        <f aca="false">IFERROR(INDEX('Call Log'!$I$5:$I$134,MATCH($A16&amp;"-R2",'Call Log'!$A$5:$A$134,0))&amp;"","")</f>
        <v/>
      </c>
      <c r="J16" s="18" t="str">
        <f aca="false">IFERROR(INDEX('Call Log'!$I$5:$I$134,MATCH($A16&amp;"-R3",'Call Log'!$A$5:$A$134,0))&amp;"","")</f>
        <v/>
      </c>
      <c r="K16" s="18" t="str">
        <f aca="false">IFERROR(INDEX('Call Log'!$I$5:$I$134,MATCH($A16&amp;"-R4",'Call Log'!$A$5:$A$134,0))&amp;"","")</f>
        <v/>
      </c>
      <c r="L16" s="18" t="str">
        <f aca="false">IFERROR(INDEX('Call Log'!$I$5:$I$134,MATCH($A16&amp;"-R5",'Call Log'!$A$5:$A$134,0))&amp;"","")</f>
        <v/>
      </c>
      <c r="M16" s="18" t="n">
        <f aca="false">COUNTIF(H16:L16,"?*")</f>
        <v>0</v>
      </c>
      <c r="N16" s="18" t="str">
        <f aca="false">IF(COUNTIFS('Call Log'!$B$5:$B$134,$A16,'Call Log'!$J$5:$J$134,"Teacher")+COUNTIFS('Call Log'!$B$5:$B$134,$A16,'Call Log'!$J$5:$J$134,"Manager")+COUNTIFS('Call Log'!$B$5:$B$134,$A16,'Call Log'!$J$5:$J$134,"Hotline")&gt;0,"Yes","No")</f>
        <v>No</v>
      </c>
      <c r="O16" s="18" t="str">
        <f aca="false">IF(COUNTIFS('Call Log'!$B$5:$B$134,$A16,'Call Log'!$K$5:$K$134,"Yes")&gt;0,"Yes","No")</f>
        <v>No</v>
      </c>
      <c r="P16" s="18" t="str">
        <f aca="false">IF(COUNTIFS('Call Log'!$B$5:$B$134,$A16,'Call Log'!$M$5:$M$134,"Yes")&gt;0,"Yes","No")</f>
        <v>No</v>
      </c>
      <c r="Q16" s="18" t="str">
        <f aca="false">IF(COUNTIFS('Call Log'!$B$5:$B$134,$A16,'Call Log'!$N$5:$N$134,"Yes")&gt;0,"Yes","No")</f>
        <v>No</v>
      </c>
      <c r="R16" s="20" t="str">
        <f aca="false">IFERROR(LOOKUP(2,1/(('Call Log'!$B$5:$B$134=$A16)*('Call Log'!$P$5:$P$134&lt;&gt;"")),'Call Log'!$P$5:$P$134),"")</f>
        <v/>
      </c>
      <c r="S16" s="18" t="str">
        <f aca="false">IFERROR(LOOKUP(2,1/(('Call Log'!$B$5:$B$134=$A16)*('Call Log'!$R$5:$R$134&lt;&gt;"")),'Call Log'!$R$5:$R$134)&amp;"","")</f>
        <v/>
      </c>
      <c r="T16" s="4" t="s">
        <v>22</v>
      </c>
      <c r="U16" s="21" t="str">
        <f aca="false">IFERROR(LOOKUP(2,1/(('Call Log'!$B$5:$B$134=$A16)*('Call Log'!$T$5:$T$134&lt;&gt;"")),'Call Log'!$T$5:$T$134),"")</f>
        <v/>
      </c>
      <c r="V16" s="22"/>
    </row>
    <row r="17" customFormat="false" ht="15" hidden="false" customHeight="false" outlineLevel="0" collapsed="false">
      <c r="A17" s="18" t="n">
        <v>13</v>
      </c>
      <c r="B17" s="4" t="s">
        <v>89</v>
      </c>
      <c r="C17" s="4" t="s">
        <v>77</v>
      </c>
      <c r="D17" s="19" t="s">
        <v>90</v>
      </c>
      <c r="E17" s="19"/>
      <c r="F17" s="19"/>
      <c r="G17" s="4" t="s">
        <v>60</v>
      </c>
      <c r="H17" s="18" t="str">
        <f aca="false">IFERROR(INDEX('Call Log'!$I$5:$I$134,MATCH($A17&amp;"-R1",'Call Log'!$A$5:$A$134,0))&amp;"","")</f>
        <v/>
      </c>
      <c r="I17" s="18" t="str">
        <f aca="false">IFERROR(INDEX('Call Log'!$I$5:$I$134,MATCH($A17&amp;"-R2",'Call Log'!$A$5:$A$134,0))&amp;"","")</f>
        <v/>
      </c>
      <c r="J17" s="18" t="str">
        <f aca="false">IFERROR(INDEX('Call Log'!$I$5:$I$134,MATCH($A17&amp;"-R3",'Call Log'!$A$5:$A$134,0))&amp;"","")</f>
        <v/>
      </c>
      <c r="K17" s="18" t="str">
        <f aca="false">IFERROR(INDEX('Call Log'!$I$5:$I$134,MATCH($A17&amp;"-R4",'Call Log'!$A$5:$A$134,0))&amp;"","")</f>
        <v/>
      </c>
      <c r="L17" s="18" t="str">
        <f aca="false">IFERROR(INDEX('Call Log'!$I$5:$I$134,MATCH($A17&amp;"-R5",'Call Log'!$A$5:$A$134,0))&amp;"","")</f>
        <v/>
      </c>
      <c r="M17" s="18" t="n">
        <f aca="false">COUNTIF(H17:L17,"?*")</f>
        <v>0</v>
      </c>
      <c r="N17" s="18" t="str">
        <f aca="false">IF(COUNTIFS('Call Log'!$B$5:$B$134,$A17,'Call Log'!$J$5:$J$134,"Teacher")+COUNTIFS('Call Log'!$B$5:$B$134,$A17,'Call Log'!$J$5:$J$134,"Manager")+COUNTIFS('Call Log'!$B$5:$B$134,$A17,'Call Log'!$J$5:$J$134,"Hotline")&gt;0,"Yes","No")</f>
        <v>No</v>
      </c>
      <c r="O17" s="18" t="str">
        <f aca="false">IF(COUNTIFS('Call Log'!$B$5:$B$134,$A17,'Call Log'!$K$5:$K$134,"Yes")&gt;0,"Yes","No")</f>
        <v>No</v>
      </c>
      <c r="P17" s="18" t="str">
        <f aca="false">IF(COUNTIFS('Call Log'!$B$5:$B$134,$A17,'Call Log'!$M$5:$M$134,"Yes")&gt;0,"Yes","No")</f>
        <v>No</v>
      </c>
      <c r="Q17" s="18" t="str">
        <f aca="false">IF(COUNTIFS('Call Log'!$B$5:$B$134,$A17,'Call Log'!$N$5:$N$134,"Yes")&gt;0,"Yes","No")</f>
        <v>No</v>
      </c>
      <c r="R17" s="20" t="str">
        <f aca="false">IFERROR(LOOKUP(2,1/(('Call Log'!$B$5:$B$134=$A17)*('Call Log'!$P$5:$P$134&lt;&gt;"")),'Call Log'!$P$5:$P$134),"")</f>
        <v/>
      </c>
      <c r="S17" s="18" t="str">
        <f aca="false">IFERROR(LOOKUP(2,1/(('Call Log'!$B$5:$B$134=$A17)*('Call Log'!$R$5:$R$134&lt;&gt;"")),'Call Log'!$R$5:$R$134)&amp;"","")</f>
        <v/>
      </c>
      <c r="T17" s="4" t="s">
        <v>22</v>
      </c>
      <c r="U17" s="21" t="str">
        <f aca="false">IFERROR(LOOKUP(2,1/(('Call Log'!$B$5:$B$134=$A17)*('Call Log'!$T$5:$T$134&lt;&gt;"")),'Call Log'!$T$5:$T$134),"")</f>
        <v/>
      </c>
      <c r="V17" s="22"/>
    </row>
    <row r="18" customFormat="false" ht="15" hidden="false" customHeight="false" outlineLevel="0" collapsed="false">
      <c r="A18" s="18" t="n">
        <v>14</v>
      </c>
      <c r="B18" s="4" t="s">
        <v>91</v>
      </c>
      <c r="C18" s="4" t="s">
        <v>92</v>
      </c>
      <c r="D18" s="19" t="s">
        <v>93</v>
      </c>
      <c r="E18" s="19"/>
      <c r="F18" s="19"/>
      <c r="G18" s="4"/>
      <c r="H18" s="18" t="str">
        <f aca="false">IFERROR(INDEX('Call Log'!$I$5:$I$134,MATCH($A18&amp;"-R1",'Call Log'!$A$5:$A$134,0))&amp;"","")</f>
        <v/>
      </c>
      <c r="I18" s="18" t="str">
        <f aca="false">IFERROR(INDEX('Call Log'!$I$5:$I$134,MATCH($A18&amp;"-R2",'Call Log'!$A$5:$A$134,0))&amp;"","")</f>
        <v/>
      </c>
      <c r="J18" s="18" t="str">
        <f aca="false">IFERROR(INDEX('Call Log'!$I$5:$I$134,MATCH($A18&amp;"-R3",'Call Log'!$A$5:$A$134,0))&amp;"","")</f>
        <v/>
      </c>
      <c r="K18" s="18" t="str">
        <f aca="false">IFERROR(INDEX('Call Log'!$I$5:$I$134,MATCH($A18&amp;"-R4",'Call Log'!$A$5:$A$134,0))&amp;"","")</f>
        <v/>
      </c>
      <c r="L18" s="18" t="str">
        <f aca="false">IFERROR(INDEX('Call Log'!$I$5:$I$134,MATCH($A18&amp;"-R5",'Call Log'!$A$5:$A$134,0))&amp;"","")</f>
        <v/>
      </c>
      <c r="M18" s="18" t="n">
        <f aca="false">COUNTIF(H18:L18,"?*")</f>
        <v>0</v>
      </c>
      <c r="N18" s="18" t="str">
        <f aca="false">IF(COUNTIFS('Call Log'!$B$5:$B$134,$A18,'Call Log'!$J$5:$J$134,"Teacher")+COUNTIFS('Call Log'!$B$5:$B$134,$A18,'Call Log'!$J$5:$J$134,"Manager")+COUNTIFS('Call Log'!$B$5:$B$134,$A18,'Call Log'!$J$5:$J$134,"Hotline")&gt;0,"Yes","No")</f>
        <v>No</v>
      </c>
      <c r="O18" s="18" t="str">
        <f aca="false">IF(COUNTIFS('Call Log'!$B$5:$B$134,$A18,'Call Log'!$K$5:$K$134,"Yes")&gt;0,"Yes","No")</f>
        <v>No</v>
      </c>
      <c r="P18" s="18" t="str">
        <f aca="false">IF(COUNTIFS('Call Log'!$B$5:$B$134,$A18,'Call Log'!$M$5:$M$134,"Yes")&gt;0,"Yes","No")</f>
        <v>No</v>
      </c>
      <c r="Q18" s="18" t="str">
        <f aca="false">IF(COUNTIFS('Call Log'!$B$5:$B$134,$A18,'Call Log'!$N$5:$N$134,"Yes")&gt;0,"Yes","No")</f>
        <v>No</v>
      </c>
      <c r="R18" s="20" t="str">
        <f aca="false">IFERROR(LOOKUP(2,1/(('Call Log'!$B$5:$B$134=$A18)*('Call Log'!$P$5:$P$134&lt;&gt;"")),'Call Log'!$P$5:$P$134),"")</f>
        <v/>
      </c>
      <c r="S18" s="18" t="str">
        <f aca="false">IFERROR(LOOKUP(2,1/(('Call Log'!$B$5:$B$134=$A18)*('Call Log'!$R$5:$R$134&lt;&gt;"")),'Call Log'!$R$5:$R$134)&amp;"","")</f>
        <v/>
      </c>
      <c r="T18" s="4" t="s">
        <v>22</v>
      </c>
      <c r="U18" s="21" t="str">
        <f aca="false">IFERROR(LOOKUP(2,1/(('Call Log'!$B$5:$B$134=$A18)*('Call Log'!$T$5:$T$134&lt;&gt;"")),'Call Log'!$T$5:$T$134),"")</f>
        <v/>
      </c>
      <c r="V18" s="22"/>
    </row>
    <row r="19" customFormat="false" ht="15" hidden="false" customHeight="false" outlineLevel="0" collapsed="false">
      <c r="A19" s="18" t="n">
        <v>15</v>
      </c>
      <c r="B19" s="4" t="s">
        <v>94</v>
      </c>
      <c r="C19" s="4" t="s">
        <v>95</v>
      </c>
      <c r="D19" s="19" t="s">
        <v>96</v>
      </c>
      <c r="E19" s="19"/>
      <c r="F19" s="19"/>
      <c r="G19" s="4" t="s">
        <v>63</v>
      </c>
      <c r="H19" s="18" t="str">
        <f aca="false">IFERROR(INDEX('Call Log'!$I$5:$I$134,MATCH($A19&amp;"-R1",'Call Log'!$A$5:$A$134,0))&amp;"","")</f>
        <v/>
      </c>
      <c r="I19" s="18" t="str">
        <f aca="false">IFERROR(INDEX('Call Log'!$I$5:$I$134,MATCH($A19&amp;"-R2",'Call Log'!$A$5:$A$134,0))&amp;"","")</f>
        <v/>
      </c>
      <c r="J19" s="18" t="str">
        <f aca="false">IFERROR(INDEX('Call Log'!$I$5:$I$134,MATCH($A19&amp;"-R3",'Call Log'!$A$5:$A$134,0))&amp;"","")</f>
        <v/>
      </c>
      <c r="K19" s="18" t="str">
        <f aca="false">IFERROR(INDEX('Call Log'!$I$5:$I$134,MATCH($A19&amp;"-R4",'Call Log'!$A$5:$A$134,0))&amp;"","")</f>
        <v/>
      </c>
      <c r="L19" s="18" t="str">
        <f aca="false">IFERROR(INDEX('Call Log'!$I$5:$I$134,MATCH($A19&amp;"-R5",'Call Log'!$A$5:$A$134,0))&amp;"","")</f>
        <v/>
      </c>
      <c r="M19" s="18" t="n">
        <f aca="false">COUNTIF(H19:L19,"?*")</f>
        <v>0</v>
      </c>
      <c r="N19" s="18" t="str">
        <f aca="false">IF(COUNTIFS('Call Log'!$B$5:$B$134,$A19,'Call Log'!$J$5:$J$134,"Teacher")+COUNTIFS('Call Log'!$B$5:$B$134,$A19,'Call Log'!$J$5:$J$134,"Manager")+COUNTIFS('Call Log'!$B$5:$B$134,$A19,'Call Log'!$J$5:$J$134,"Hotline")&gt;0,"Yes","No")</f>
        <v>No</v>
      </c>
      <c r="O19" s="18" t="str">
        <f aca="false">IF(COUNTIFS('Call Log'!$B$5:$B$134,$A19,'Call Log'!$K$5:$K$134,"Yes")&gt;0,"Yes","No")</f>
        <v>No</v>
      </c>
      <c r="P19" s="18" t="str">
        <f aca="false">IF(COUNTIFS('Call Log'!$B$5:$B$134,$A19,'Call Log'!$M$5:$M$134,"Yes")&gt;0,"Yes","No")</f>
        <v>No</v>
      </c>
      <c r="Q19" s="18" t="str">
        <f aca="false">IF(COUNTIFS('Call Log'!$B$5:$B$134,$A19,'Call Log'!$N$5:$N$134,"Yes")&gt;0,"Yes","No")</f>
        <v>No</v>
      </c>
      <c r="R19" s="20" t="str">
        <f aca="false">IFERROR(LOOKUP(2,1/(('Call Log'!$B$5:$B$134=$A19)*('Call Log'!$P$5:$P$134&lt;&gt;"")),'Call Log'!$P$5:$P$134),"")</f>
        <v/>
      </c>
      <c r="S19" s="18" t="str">
        <f aca="false">IFERROR(LOOKUP(2,1/(('Call Log'!$B$5:$B$134=$A19)*('Call Log'!$R$5:$R$134&lt;&gt;"")),'Call Log'!$R$5:$R$134)&amp;"","")</f>
        <v/>
      </c>
      <c r="T19" s="4" t="s">
        <v>22</v>
      </c>
      <c r="U19" s="21" t="str">
        <f aca="false">IFERROR(LOOKUP(2,1/(('Call Log'!$B$5:$B$134=$A19)*('Call Log'!$T$5:$T$134&lt;&gt;"")),'Call Log'!$T$5:$T$134),"")</f>
        <v/>
      </c>
      <c r="V19" s="22"/>
    </row>
    <row r="20" customFormat="false" ht="15" hidden="false" customHeight="false" outlineLevel="0" collapsed="false">
      <c r="A20" s="18" t="n">
        <v>16</v>
      </c>
      <c r="B20" s="4" t="s">
        <v>97</v>
      </c>
      <c r="C20" s="4" t="s">
        <v>98</v>
      </c>
      <c r="D20" s="19" t="s">
        <v>99</v>
      </c>
      <c r="E20" s="19"/>
      <c r="F20" s="19"/>
      <c r="G20" s="4" t="s">
        <v>63</v>
      </c>
      <c r="H20" s="18" t="str">
        <f aca="false">IFERROR(INDEX('Call Log'!$I$5:$I$134,MATCH($A20&amp;"-R1",'Call Log'!$A$5:$A$134,0))&amp;"","")</f>
        <v/>
      </c>
      <c r="I20" s="18" t="str">
        <f aca="false">IFERROR(INDEX('Call Log'!$I$5:$I$134,MATCH($A20&amp;"-R2",'Call Log'!$A$5:$A$134,0))&amp;"","")</f>
        <v/>
      </c>
      <c r="J20" s="18" t="str">
        <f aca="false">IFERROR(INDEX('Call Log'!$I$5:$I$134,MATCH($A20&amp;"-R3",'Call Log'!$A$5:$A$134,0))&amp;"","")</f>
        <v/>
      </c>
      <c r="K20" s="18" t="str">
        <f aca="false">IFERROR(INDEX('Call Log'!$I$5:$I$134,MATCH($A20&amp;"-R4",'Call Log'!$A$5:$A$134,0))&amp;"","")</f>
        <v/>
      </c>
      <c r="L20" s="18" t="str">
        <f aca="false">IFERROR(INDEX('Call Log'!$I$5:$I$134,MATCH($A20&amp;"-R5",'Call Log'!$A$5:$A$134,0))&amp;"","")</f>
        <v/>
      </c>
      <c r="M20" s="18" t="n">
        <f aca="false">COUNTIF(H20:L20,"?*")</f>
        <v>0</v>
      </c>
      <c r="N20" s="18" t="str">
        <f aca="false">IF(COUNTIFS('Call Log'!$B$5:$B$134,$A20,'Call Log'!$J$5:$J$134,"Teacher")+COUNTIFS('Call Log'!$B$5:$B$134,$A20,'Call Log'!$J$5:$J$134,"Manager")+COUNTIFS('Call Log'!$B$5:$B$134,$A20,'Call Log'!$J$5:$J$134,"Hotline")&gt;0,"Yes","No")</f>
        <v>No</v>
      </c>
      <c r="O20" s="18" t="str">
        <f aca="false">IF(COUNTIFS('Call Log'!$B$5:$B$134,$A20,'Call Log'!$K$5:$K$134,"Yes")&gt;0,"Yes","No")</f>
        <v>No</v>
      </c>
      <c r="P20" s="18" t="str">
        <f aca="false">IF(COUNTIFS('Call Log'!$B$5:$B$134,$A20,'Call Log'!$M$5:$M$134,"Yes")&gt;0,"Yes","No")</f>
        <v>No</v>
      </c>
      <c r="Q20" s="18" t="str">
        <f aca="false">IF(COUNTIFS('Call Log'!$B$5:$B$134,$A20,'Call Log'!$N$5:$N$134,"Yes")&gt;0,"Yes","No")</f>
        <v>No</v>
      </c>
      <c r="R20" s="20" t="str">
        <f aca="false">IFERROR(LOOKUP(2,1/(('Call Log'!$B$5:$B$134=$A20)*('Call Log'!$P$5:$P$134&lt;&gt;"")),'Call Log'!$P$5:$P$134),"")</f>
        <v/>
      </c>
      <c r="S20" s="18" t="str">
        <f aca="false">IFERROR(LOOKUP(2,1/(('Call Log'!$B$5:$B$134=$A20)*('Call Log'!$R$5:$R$134&lt;&gt;"")),'Call Log'!$R$5:$R$134)&amp;"","")</f>
        <v/>
      </c>
      <c r="T20" s="4" t="s">
        <v>22</v>
      </c>
      <c r="U20" s="21" t="str">
        <f aca="false">IFERROR(LOOKUP(2,1/(('Call Log'!$B$5:$B$134=$A20)*('Call Log'!$T$5:$T$134&lt;&gt;"")),'Call Log'!$T$5:$T$134),"")</f>
        <v/>
      </c>
      <c r="V20" s="22"/>
    </row>
    <row r="21" customFormat="false" ht="15" hidden="false" customHeight="false" outlineLevel="0" collapsed="false">
      <c r="A21" s="18" t="n">
        <v>17</v>
      </c>
      <c r="B21" s="4" t="s">
        <v>100</v>
      </c>
      <c r="C21" s="4" t="s">
        <v>101</v>
      </c>
      <c r="D21" s="19" t="s">
        <v>102</v>
      </c>
      <c r="E21" s="19"/>
      <c r="F21" s="19"/>
      <c r="G21" s="4" t="s">
        <v>60</v>
      </c>
      <c r="H21" s="18" t="str">
        <f aca="false">IFERROR(INDEX('Call Log'!$I$5:$I$134,MATCH($A21&amp;"-R1",'Call Log'!$A$5:$A$134,0))&amp;"","")</f>
        <v/>
      </c>
      <c r="I21" s="18" t="str">
        <f aca="false">IFERROR(INDEX('Call Log'!$I$5:$I$134,MATCH($A21&amp;"-R2",'Call Log'!$A$5:$A$134,0))&amp;"","")</f>
        <v/>
      </c>
      <c r="J21" s="18" t="str">
        <f aca="false">IFERROR(INDEX('Call Log'!$I$5:$I$134,MATCH($A21&amp;"-R3",'Call Log'!$A$5:$A$134,0))&amp;"","")</f>
        <v/>
      </c>
      <c r="K21" s="18" t="str">
        <f aca="false">IFERROR(INDEX('Call Log'!$I$5:$I$134,MATCH($A21&amp;"-R4",'Call Log'!$A$5:$A$134,0))&amp;"","")</f>
        <v/>
      </c>
      <c r="L21" s="18" t="str">
        <f aca="false">IFERROR(INDEX('Call Log'!$I$5:$I$134,MATCH($A21&amp;"-R5",'Call Log'!$A$5:$A$134,0))&amp;"","")</f>
        <v/>
      </c>
      <c r="M21" s="18" t="n">
        <f aca="false">COUNTIF(H21:L21,"?*")</f>
        <v>0</v>
      </c>
      <c r="N21" s="18" t="str">
        <f aca="false">IF(COUNTIFS('Call Log'!$B$5:$B$134,$A21,'Call Log'!$J$5:$J$134,"Teacher")+COUNTIFS('Call Log'!$B$5:$B$134,$A21,'Call Log'!$J$5:$J$134,"Manager")+COUNTIFS('Call Log'!$B$5:$B$134,$A21,'Call Log'!$J$5:$J$134,"Hotline")&gt;0,"Yes","No")</f>
        <v>No</v>
      </c>
      <c r="O21" s="18" t="str">
        <f aca="false">IF(COUNTIFS('Call Log'!$B$5:$B$134,$A21,'Call Log'!$K$5:$K$134,"Yes")&gt;0,"Yes","No")</f>
        <v>No</v>
      </c>
      <c r="P21" s="18" t="str">
        <f aca="false">IF(COUNTIFS('Call Log'!$B$5:$B$134,$A21,'Call Log'!$M$5:$M$134,"Yes")&gt;0,"Yes","No")</f>
        <v>No</v>
      </c>
      <c r="Q21" s="18" t="str">
        <f aca="false">IF(COUNTIFS('Call Log'!$B$5:$B$134,$A21,'Call Log'!$N$5:$N$134,"Yes")&gt;0,"Yes","No")</f>
        <v>No</v>
      </c>
      <c r="R21" s="20" t="str">
        <f aca="false">IFERROR(LOOKUP(2,1/(('Call Log'!$B$5:$B$134=$A21)*('Call Log'!$P$5:$P$134&lt;&gt;"")),'Call Log'!$P$5:$P$134),"")</f>
        <v/>
      </c>
      <c r="S21" s="18" t="str">
        <f aca="false">IFERROR(LOOKUP(2,1/(('Call Log'!$B$5:$B$134=$A21)*('Call Log'!$R$5:$R$134&lt;&gt;"")),'Call Log'!$R$5:$R$134)&amp;"","")</f>
        <v/>
      </c>
      <c r="T21" s="4" t="s">
        <v>22</v>
      </c>
      <c r="U21" s="21" t="str">
        <f aca="false">IFERROR(LOOKUP(2,1/(('Call Log'!$B$5:$B$134=$A21)*('Call Log'!$T$5:$T$134&lt;&gt;"")),'Call Log'!$T$5:$T$134),"")</f>
        <v/>
      </c>
      <c r="V21" s="22"/>
    </row>
    <row r="22" customFormat="false" ht="15" hidden="false" customHeight="false" outlineLevel="0" collapsed="false">
      <c r="A22" s="18" t="n">
        <v>18</v>
      </c>
      <c r="B22" s="4" t="s">
        <v>103</v>
      </c>
      <c r="C22" s="4" t="s">
        <v>104</v>
      </c>
      <c r="D22" s="19" t="s">
        <v>105</v>
      </c>
      <c r="E22" s="19"/>
      <c r="F22" s="19"/>
      <c r="G22" s="4"/>
      <c r="H22" s="18" t="str">
        <f aca="false">IFERROR(INDEX('Call Log'!$I$5:$I$134,MATCH($A22&amp;"-R1",'Call Log'!$A$5:$A$134,0))&amp;"","")</f>
        <v/>
      </c>
      <c r="I22" s="18" t="str">
        <f aca="false">IFERROR(INDEX('Call Log'!$I$5:$I$134,MATCH($A22&amp;"-R2",'Call Log'!$A$5:$A$134,0))&amp;"","")</f>
        <v/>
      </c>
      <c r="J22" s="18" t="str">
        <f aca="false">IFERROR(INDEX('Call Log'!$I$5:$I$134,MATCH($A22&amp;"-R3",'Call Log'!$A$5:$A$134,0))&amp;"","")</f>
        <v/>
      </c>
      <c r="K22" s="18" t="str">
        <f aca="false">IFERROR(INDEX('Call Log'!$I$5:$I$134,MATCH($A22&amp;"-R4",'Call Log'!$A$5:$A$134,0))&amp;"","")</f>
        <v/>
      </c>
      <c r="L22" s="18" t="str">
        <f aca="false">IFERROR(INDEX('Call Log'!$I$5:$I$134,MATCH($A22&amp;"-R5",'Call Log'!$A$5:$A$134,0))&amp;"","")</f>
        <v/>
      </c>
      <c r="M22" s="18" t="n">
        <f aca="false">COUNTIF(H22:L22,"?*")</f>
        <v>0</v>
      </c>
      <c r="N22" s="18" t="str">
        <f aca="false">IF(COUNTIFS('Call Log'!$B$5:$B$134,$A22,'Call Log'!$J$5:$J$134,"Teacher")+COUNTIFS('Call Log'!$B$5:$B$134,$A22,'Call Log'!$J$5:$J$134,"Manager")+COUNTIFS('Call Log'!$B$5:$B$134,$A22,'Call Log'!$J$5:$J$134,"Hotline")&gt;0,"Yes","No")</f>
        <v>No</v>
      </c>
      <c r="O22" s="18" t="str">
        <f aca="false">IF(COUNTIFS('Call Log'!$B$5:$B$134,$A22,'Call Log'!$K$5:$K$134,"Yes")&gt;0,"Yes","No")</f>
        <v>No</v>
      </c>
      <c r="P22" s="18" t="str">
        <f aca="false">IF(COUNTIFS('Call Log'!$B$5:$B$134,$A22,'Call Log'!$M$5:$M$134,"Yes")&gt;0,"Yes","No")</f>
        <v>No</v>
      </c>
      <c r="Q22" s="18" t="str">
        <f aca="false">IF(COUNTIFS('Call Log'!$B$5:$B$134,$A22,'Call Log'!$N$5:$N$134,"Yes")&gt;0,"Yes","No")</f>
        <v>No</v>
      </c>
      <c r="R22" s="20" t="str">
        <f aca="false">IFERROR(LOOKUP(2,1/(('Call Log'!$B$5:$B$134=$A22)*('Call Log'!$P$5:$P$134&lt;&gt;"")),'Call Log'!$P$5:$P$134),"")</f>
        <v/>
      </c>
      <c r="S22" s="18" t="str">
        <f aca="false">IFERROR(LOOKUP(2,1/(('Call Log'!$B$5:$B$134=$A22)*('Call Log'!$R$5:$R$134&lt;&gt;"")),'Call Log'!$R$5:$R$134)&amp;"","")</f>
        <v/>
      </c>
      <c r="T22" s="4" t="s">
        <v>22</v>
      </c>
      <c r="U22" s="21" t="str">
        <f aca="false">IFERROR(LOOKUP(2,1/(('Call Log'!$B$5:$B$134=$A22)*('Call Log'!$T$5:$T$134&lt;&gt;"")),'Call Log'!$T$5:$T$134),"")</f>
        <v/>
      </c>
      <c r="V22" s="22"/>
    </row>
    <row r="23" customFormat="false" ht="15" hidden="false" customHeight="false" outlineLevel="0" collapsed="false">
      <c r="A23" s="18" t="n">
        <v>19</v>
      </c>
      <c r="B23" s="4" t="s">
        <v>106</v>
      </c>
      <c r="C23" s="4" t="s">
        <v>104</v>
      </c>
      <c r="D23" s="19" t="s">
        <v>107</v>
      </c>
      <c r="E23" s="19"/>
      <c r="F23" s="19"/>
      <c r="G23" s="4"/>
      <c r="H23" s="18" t="str">
        <f aca="false">IFERROR(INDEX('Call Log'!$I$5:$I$134,MATCH($A23&amp;"-R1",'Call Log'!$A$5:$A$134,0))&amp;"","")</f>
        <v/>
      </c>
      <c r="I23" s="18" t="str">
        <f aca="false">IFERROR(INDEX('Call Log'!$I$5:$I$134,MATCH($A23&amp;"-R2",'Call Log'!$A$5:$A$134,0))&amp;"","")</f>
        <v/>
      </c>
      <c r="J23" s="18" t="str">
        <f aca="false">IFERROR(INDEX('Call Log'!$I$5:$I$134,MATCH($A23&amp;"-R3",'Call Log'!$A$5:$A$134,0))&amp;"","")</f>
        <v/>
      </c>
      <c r="K23" s="18" t="str">
        <f aca="false">IFERROR(INDEX('Call Log'!$I$5:$I$134,MATCH($A23&amp;"-R4",'Call Log'!$A$5:$A$134,0))&amp;"","")</f>
        <v/>
      </c>
      <c r="L23" s="18" t="str">
        <f aca="false">IFERROR(INDEX('Call Log'!$I$5:$I$134,MATCH($A23&amp;"-R5",'Call Log'!$A$5:$A$134,0))&amp;"","")</f>
        <v/>
      </c>
      <c r="M23" s="18" t="n">
        <f aca="false">COUNTIF(H23:L23,"?*")</f>
        <v>0</v>
      </c>
      <c r="N23" s="18" t="str">
        <f aca="false">IF(COUNTIFS('Call Log'!$B$5:$B$134,$A23,'Call Log'!$J$5:$J$134,"Teacher")+COUNTIFS('Call Log'!$B$5:$B$134,$A23,'Call Log'!$J$5:$J$134,"Manager")+COUNTIFS('Call Log'!$B$5:$B$134,$A23,'Call Log'!$J$5:$J$134,"Hotline")&gt;0,"Yes","No")</f>
        <v>No</v>
      </c>
      <c r="O23" s="18" t="str">
        <f aca="false">IF(COUNTIFS('Call Log'!$B$5:$B$134,$A23,'Call Log'!$K$5:$K$134,"Yes")&gt;0,"Yes","No")</f>
        <v>No</v>
      </c>
      <c r="P23" s="18" t="str">
        <f aca="false">IF(COUNTIFS('Call Log'!$B$5:$B$134,$A23,'Call Log'!$M$5:$M$134,"Yes")&gt;0,"Yes","No")</f>
        <v>No</v>
      </c>
      <c r="Q23" s="18" t="str">
        <f aca="false">IF(COUNTIFS('Call Log'!$B$5:$B$134,$A23,'Call Log'!$N$5:$N$134,"Yes")&gt;0,"Yes","No")</f>
        <v>No</v>
      </c>
      <c r="R23" s="20" t="str">
        <f aca="false">IFERROR(LOOKUP(2,1/(('Call Log'!$B$5:$B$134=$A23)*('Call Log'!$P$5:$P$134&lt;&gt;"")),'Call Log'!$P$5:$P$134),"")</f>
        <v/>
      </c>
      <c r="S23" s="18" t="str">
        <f aca="false">IFERROR(LOOKUP(2,1/(('Call Log'!$B$5:$B$134=$A23)*('Call Log'!$R$5:$R$134&lt;&gt;"")),'Call Log'!$R$5:$R$134)&amp;"","")</f>
        <v/>
      </c>
      <c r="T23" s="4" t="s">
        <v>22</v>
      </c>
      <c r="U23" s="21" t="str">
        <f aca="false">IFERROR(LOOKUP(2,1/(('Call Log'!$B$5:$B$134=$A23)*('Call Log'!$T$5:$T$134&lt;&gt;"")),'Call Log'!$T$5:$T$134),"")</f>
        <v/>
      </c>
      <c r="V23" s="22"/>
    </row>
    <row r="24" customFormat="false" ht="15" hidden="false" customHeight="false" outlineLevel="0" collapsed="false">
      <c r="A24" s="18" t="n">
        <v>20</v>
      </c>
      <c r="B24" s="4" t="s">
        <v>108</v>
      </c>
      <c r="C24" s="4" t="s">
        <v>109</v>
      </c>
      <c r="D24" s="19" t="s">
        <v>110</v>
      </c>
      <c r="E24" s="19"/>
      <c r="F24" s="19"/>
      <c r="G24" s="4"/>
      <c r="H24" s="18" t="str">
        <f aca="false">IFERROR(INDEX('Call Log'!$I$5:$I$134,MATCH($A24&amp;"-R1",'Call Log'!$A$5:$A$134,0))&amp;"","")</f>
        <v/>
      </c>
      <c r="I24" s="18" t="str">
        <f aca="false">IFERROR(INDEX('Call Log'!$I$5:$I$134,MATCH($A24&amp;"-R2",'Call Log'!$A$5:$A$134,0))&amp;"","")</f>
        <v/>
      </c>
      <c r="J24" s="18" t="str">
        <f aca="false">IFERROR(INDEX('Call Log'!$I$5:$I$134,MATCH($A24&amp;"-R3",'Call Log'!$A$5:$A$134,0))&amp;"","")</f>
        <v/>
      </c>
      <c r="K24" s="18" t="str">
        <f aca="false">IFERROR(INDEX('Call Log'!$I$5:$I$134,MATCH($A24&amp;"-R4",'Call Log'!$A$5:$A$134,0))&amp;"","")</f>
        <v/>
      </c>
      <c r="L24" s="18" t="str">
        <f aca="false">IFERROR(INDEX('Call Log'!$I$5:$I$134,MATCH($A24&amp;"-R5",'Call Log'!$A$5:$A$134,0))&amp;"","")</f>
        <v/>
      </c>
      <c r="M24" s="18" t="n">
        <f aca="false">COUNTIF(H24:L24,"?*")</f>
        <v>0</v>
      </c>
      <c r="N24" s="18" t="str">
        <f aca="false">IF(COUNTIFS('Call Log'!$B$5:$B$134,$A24,'Call Log'!$J$5:$J$134,"Teacher")+COUNTIFS('Call Log'!$B$5:$B$134,$A24,'Call Log'!$J$5:$J$134,"Manager")+COUNTIFS('Call Log'!$B$5:$B$134,$A24,'Call Log'!$J$5:$J$134,"Hotline")&gt;0,"Yes","No")</f>
        <v>No</v>
      </c>
      <c r="O24" s="18" t="str">
        <f aca="false">IF(COUNTIFS('Call Log'!$B$5:$B$134,$A24,'Call Log'!$K$5:$K$134,"Yes")&gt;0,"Yes","No")</f>
        <v>No</v>
      </c>
      <c r="P24" s="18" t="str">
        <f aca="false">IF(COUNTIFS('Call Log'!$B$5:$B$134,$A24,'Call Log'!$M$5:$M$134,"Yes")&gt;0,"Yes","No")</f>
        <v>No</v>
      </c>
      <c r="Q24" s="18" t="str">
        <f aca="false">IF(COUNTIFS('Call Log'!$B$5:$B$134,$A24,'Call Log'!$N$5:$N$134,"Yes")&gt;0,"Yes","No")</f>
        <v>No</v>
      </c>
      <c r="R24" s="20" t="str">
        <f aca="false">IFERROR(LOOKUP(2,1/(('Call Log'!$B$5:$B$134=$A24)*('Call Log'!$P$5:$P$134&lt;&gt;"")),'Call Log'!$P$5:$P$134),"")</f>
        <v/>
      </c>
      <c r="S24" s="18" t="str">
        <f aca="false">IFERROR(LOOKUP(2,1/(('Call Log'!$B$5:$B$134=$A24)*('Call Log'!$R$5:$R$134&lt;&gt;"")),'Call Log'!$R$5:$R$134)&amp;"","")</f>
        <v/>
      </c>
      <c r="T24" s="4" t="s">
        <v>22</v>
      </c>
      <c r="U24" s="21" t="str">
        <f aca="false">IFERROR(LOOKUP(2,1/(('Call Log'!$B$5:$B$134=$A24)*('Call Log'!$T$5:$T$134&lt;&gt;"")),'Call Log'!$T$5:$T$134),"")</f>
        <v/>
      </c>
      <c r="V24" s="22"/>
    </row>
    <row r="25" customFormat="false" ht="15" hidden="false" customHeight="false" outlineLevel="0" collapsed="false">
      <c r="A25" s="18" t="n">
        <v>21</v>
      </c>
      <c r="B25" s="4" t="s">
        <v>111</v>
      </c>
      <c r="C25" s="4" t="s">
        <v>98</v>
      </c>
      <c r="D25" s="19"/>
      <c r="E25" s="19"/>
      <c r="F25" s="19"/>
      <c r="G25" s="4" t="s">
        <v>60</v>
      </c>
      <c r="H25" s="18" t="str">
        <f aca="false">IFERROR(INDEX('Call Log'!$I$5:$I$134,MATCH($A25&amp;"-R1",'Call Log'!$A$5:$A$134,0))&amp;"","")</f>
        <v/>
      </c>
      <c r="I25" s="18" t="str">
        <f aca="false">IFERROR(INDEX('Call Log'!$I$5:$I$134,MATCH($A25&amp;"-R2",'Call Log'!$A$5:$A$134,0))&amp;"","")</f>
        <v/>
      </c>
      <c r="J25" s="18" t="str">
        <f aca="false">IFERROR(INDEX('Call Log'!$I$5:$I$134,MATCH($A25&amp;"-R3",'Call Log'!$A$5:$A$134,0))&amp;"","")</f>
        <v/>
      </c>
      <c r="K25" s="18" t="str">
        <f aca="false">IFERROR(INDEX('Call Log'!$I$5:$I$134,MATCH($A25&amp;"-R4",'Call Log'!$A$5:$A$134,0))&amp;"","")</f>
        <v/>
      </c>
      <c r="L25" s="18" t="str">
        <f aca="false">IFERROR(INDEX('Call Log'!$I$5:$I$134,MATCH($A25&amp;"-R5",'Call Log'!$A$5:$A$134,0))&amp;"","")</f>
        <v/>
      </c>
      <c r="M25" s="18" t="n">
        <f aca="false">COUNTIF(H25:L25,"?*")</f>
        <v>0</v>
      </c>
      <c r="N25" s="18" t="str">
        <f aca="false">IF(COUNTIFS('Call Log'!$B$5:$B$134,$A25,'Call Log'!$J$5:$J$134,"Teacher")+COUNTIFS('Call Log'!$B$5:$B$134,$A25,'Call Log'!$J$5:$J$134,"Manager")+COUNTIFS('Call Log'!$B$5:$B$134,$A25,'Call Log'!$J$5:$J$134,"Hotline")&gt;0,"Yes","No")</f>
        <v>No</v>
      </c>
      <c r="O25" s="18" t="str">
        <f aca="false">IF(COUNTIFS('Call Log'!$B$5:$B$134,$A25,'Call Log'!$K$5:$K$134,"Yes")&gt;0,"Yes","No")</f>
        <v>No</v>
      </c>
      <c r="P25" s="18" t="str">
        <f aca="false">IF(COUNTIFS('Call Log'!$B$5:$B$134,$A25,'Call Log'!$M$5:$M$134,"Yes")&gt;0,"Yes","No")</f>
        <v>No</v>
      </c>
      <c r="Q25" s="18" t="str">
        <f aca="false">IF(COUNTIFS('Call Log'!$B$5:$B$134,$A25,'Call Log'!$N$5:$N$134,"Yes")&gt;0,"Yes","No")</f>
        <v>No</v>
      </c>
      <c r="R25" s="20" t="str">
        <f aca="false">IFERROR(LOOKUP(2,1/(('Call Log'!$B$5:$B$134=$A25)*('Call Log'!$P$5:$P$134&lt;&gt;"")),'Call Log'!$P$5:$P$134),"")</f>
        <v/>
      </c>
      <c r="S25" s="18" t="str">
        <f aca="false">IFERROR(LOOKUP(2,1/(('Call Log'!$B$5:$B$134=$A25)*('Call Log'!$R$5:$R$134&lt;&gt;"")),'Call Log'!$R$5:$R$134)&amp;"","")</f>
        <v/>
      </c>
      <c r="T25" s="4" t="s">
        <v>22</v>
      </c>
      <c r="U25" s="21" t="str">
        <f aca="false">IFERROR(LOOKUP(2,1/(('Call Log'!$B$5:$B$134=$A25)*('Call Log'!$T$5:$T$134&lt;&gt;"")),'Call Log'!$T$5:$T$134),"")</f>
        <v/>
      </c>
      <c r="V25" s="22" t="s">
        <v>112</v>
      </c>
    </row>
    <row r="26" customFormat="false" ht="15" hidden="false" customHeight="false" outlineLevel="0" collapsed="false">
      <c r="A26" s="18" t="n">
        <v>22</v>
      </c>
      <c r="B26" s="4" t="s">
        <v>113</v>
      </c>
      <c r="C26" s="4" t="s">
        <v>95</v>
      </c>
      <c r="D26" s="19"/>
      <c r="E26" s="19"/>
      <c r="F26" s="19"/>
      <c r="G26" s="4" t="s">
        <v>60</v>
      </c>
      <c r="H26" s="18" t="str">
        <f aca="false">IFERROR(INDEX('Call Log'!$I$5:$I$134,MATCH($A26&amp;"-R1",'Call Log'!$A$5:$A$134,0))&amp;"","")</f>
        <v/>
      </c>
      <c r="I26" s="18" t="str">
        <f aca="false">IFERROR(INDEX('Call Log'!$I$5:$I$134,MATCH($A26&amp;"-R2",'Call Log'!$A$5:$A$134,0))&amp;"","")</f>
        <v/>
      </c>
      <c r="J26" s="18" t="str">
        <f aca="false">IFERROR(INDEX('Call Log'!$I$5:$I$134,MATCH($A26&amp;"-R3",'Call Log'!$A$5:$A$134,0))&amp;"","")</f>
        <v/>
      </c>
      <c r="K26" s="18" t="str">
        <f aca="false">IFERROR(INDEX('Call Log'!$I$5:$I$134,MATCH($A26&amp;"-R4",'Call Log'!$A$5:$A$134,0))&amp;"","")</f>
        <v/>
      </c>
      <c r="L26" s="18" t="str">
        <f aca="false">IFERROR(INDEX('Call Log'!$I$5:$I$134,MATCH($A26&amp;"-R5",'Call Log'!$A$5:$A$134,0))&amp;"","")</f>
        <v/>
      </c>
      <c r="M26" s="18" t="n">
        <f aca="false">COUNTIF(H26:L26,"?*")</f>
        <v>0</v>
      </c>
      <c r="N26" s="18" t="str">
        <f aca="false">IF(COUNTIFS('Call Log'!$B$5:$B$134,$A26,'Call Log'!$J$5:$J$134,"Teacher")+COUNTIFS('Call Log'!$B$5:$B$134,$A26,'Call Log'!$J$5:$J$134,"Manager")+COUNTIFS('Call Log'!$B$5:$B$134,$A26,'Call Log'!$J$5:$J$134,"Hotline")&gt;0,"Yes","No")</f>
        <v>No</v>
      </c>
      <c r="O26" s="18" t="str">
        <f aca="false">IF(COUNTIFS('Call Log'!$B$5:$B$134,$A26,'Call Log'!$K$5:$K$134,"Yes")&gt;0,"Yes","No")</f>
        <v>No</v>
      </c>
      <c r="P26" s="18" t="str">
        <f aca="false">IF(COUNTIFS('Call Log'!$B$5:$B$134,$A26,'Call Log'!$M$5:$M$134,"Yes")&gt;0,"Yes","No")</f>
        <v>No</v>
      </c>
      <c r="Q26" s="18" t="str">
        <f aca="false">IF(COUNTIFS('Call Log'!$B$5:$B$134,$A26,'Call Log'!$N$5:$N$134,"Yes")&gt;0,"Yes","No")</f>
        <v>No</v>
      </c>
      <c r="R26" s="20" t="str">
        <f aca="false">IFERROR(LOOKUP(2,1/(('Call Log'!$B$5:$B$134=$A26)*('Call Log'!$P$5:$P$134&lt;&gt;"")),'Call Log'!$P$5:$P$134),"")</f>
        <v/>
      </c>
      <c r="S26" s="18" t="str">
        <f aca="false">IFERROR(LOOKUP(2,1/(('Call Log'!$B$5:$B$134=$A26)*('Call Log'!$R$5:$R$134&lt;&gt;"")),'Call Log'!$R$5:$R$134)&amp;"","")</f>
        <v/>
      </c>
      <c r="T26" s="4" t="s">
        <v>22</v>
      </c>
      <c r="U26" s="21" t="str">
        <f aca="false">IFERROR(LOOKUP(2,1/(('Call Log'!$B$5:$B$134=$A26)*('Call Log'!$T$5:$T$134&lt;&gt;"")),'Call Log'!$T$5:$T$134),"")</f>
        <v/>
      </c>
      <c r="V26" s="22" t="s">
        <v>112</v>
      </c>
    </row>
    <row r="27" customFormat="false" ht="15" hidden="false" customHeight="false" outlineLevel="0" collapsed="false">
      <c r="A27" s="18" t="n">
        <v>23</v>
      </c>
      <c r="B27" s="4" t="s">
        <v>114</v>
      </c>
      <c r="C27" s="4" t="s">
        <v>115</v>
      </c>
      <c r="D27" s="19"/>
      <c r="E27" s="19"/>
      <c r="F27" s="19"/>
      <c r="G27" s="4" t="s">
        <v>63</v>
      </c>
      <c r="H27" s="18" t="str">
        <f aca="false">IFERROR(INDEX('Call Log'!$I$5:$I$134,MATCH($A27&amp;"-R1",'Call Log'!$A$5:$A$134,0))&amp;"","")</f>
        <v/>
      </c>
      <c r="I27" s="18" t="str">
        <f aca="false">IFERROR(INDEX('Call Log'!$I$5:$I$134,MATCH($A27&amp;"-R2",'Call Log'!$A$5:$A$134,0))&amp;"","")</f>
        <v/>
      </c>
      <c r="J27" s="18" t="str">
        <f aca="false">IFERROR(INDEX('Call Log'!$I$5:$I$134,MATCH($A27&amp;"-R3",'Call Log'!$A$5:$A$134,0))&amp;"","")</f>
        <v/>
      </c>
      <c r="K27" s="18" t="str">
        <f aca="false">IFERROR(INDEX('Call Log'!$I$5:$I$134,MATCH($A27&amp;"-R4",'Call Log'!$A$5:$A$134,0))&amp;"","")</f>
        <v/>
      </c>
      <c r="L27" s="18" t="str">
        <f aca="false">IFERROR(INDEX('Call Log'!$I$5:$I$134,MATCH($A27&amp;"-R5",'Call Log'!$A$5:$A$134,0))&amp;"","")</f>
        <v/>
      </c>
      <c r="M27" s="18" t="n">
        <f aca="false">COUNTIF(H27:L27,"?*")</f>
        <v>0</v>
      </c>
      <c r="N27" s="18" t="str">
        <f aca="false">IF(COUNTIFS('Call Log'!$B$5:$B$134,$A27,'Call Log'!$J$5:$J$134,"Teacher")+COUNTIFS('Call Log'!$B$5:$B$134,$A27,'Call Log'!$J$5:$J$134,"Manager")+COUNTIFS('Call Log'!$B$5:$B$134,$A27,'Call Log'!$J$5:$J$134,"Hotline")&gt;0,"Yes","No")</f>
        <v>No</v>
      </c>
      <c r="O27" s="18" t="str">
        <f aca="false">IF(COUNTIFS('Call Log'!$B$5:$B$134,$A27,'Call Log'!$K$5:$K$134,"Yes")&gt;0,"Yes","No")</f>
        <v>No</v>
      </c>
      <c r="P27" s="18" t="str">
        <f aca="false">IF(COUNTIFS('Call Log'!$B$5:$B$134,$A27,'Call Log'!$M$5:$M$134,"Yes")&gt;0,"Yes","No")</f>
        <v>No</v>
      </c>
      <c r="Q27" s="18" t="str">
        <f aca="false">IF(COUNTIFS('Call Log'!$B$5:$B$134,$A27,'Call Log'!$N$5:$N$134,"Yes")&gt;0,"Yes","No")</f>
        <v>No</v>
      </c>
      <c r="R27" s="20" t="str">
        <f aca="false">IFERROR(LOOKUP(2,1/(('Call Log'!$B$5:$B$134=$A27)*('Call Log'!$P$5:$P$134&lt;&gt;"")),'Call Log'!$P$5:$P$134),"")</f>
        <v/>
      </c>
      <c r="S27" s="18" t="str">
        <f aca="false">IFERROR(LOOKUP(2,1/(('Call Log'!$B$5:$B$134=$A27)*('Call Log'!$R$5:$R$134&lt;&gt;"")),'Call Log'!$R$5:$R$134)&amp;"","")</f>
        <v/>
      </c>
      <c r="T27" s="4" t="s">
        <v>22</v>
      </c>
      <c r="U27" s="21" t="str">
        <f aca="false">IFERROR(LOOKUP(2,1/(('Call Log'!$B$5:$B$134=$A27)*('Call Log'!$T$5:$T$134&lt;&gt;"")),'Call Log'!$T$5:$T$134),"")</f>
        <v/>
      </c>
      <c r="V27" s="22" t="s">
        <v>112</v>
      </c>
    </row>
    <row r="28" customFormat="false" ht="15" hidden="false" customHeight="false" outlineLevel="0" collapsed="false">
      <c r="A28" s="18" t="n">
        <v>24</v>
      </c>
      <c r="B28" s="4" t="s">
        <v>116</v>
      </c>
      <c r="C28" s="4" t="s">
        <v>69</v>
      </c>
      <c r="D28" s="19"/>
      <c r="E28" s="19"/>
      <c r="F28" s="19"/>
      <c r="G28" s="4" t="s">
        <v>63</v>
      </c>
      <c r="H28" s="18" t="str">
        <f aca="false">IFERROR(INDEX('Call Log'!$I$5:$I$134,MATCH($A28&amp;"-R1",'Call Log'!$A$5:$A$134,0))&amp;"","")</f>
        <v/>
      </c>
      <c r="I28" s="18" t="str">
        <f aca="false">IFERROR(INDEX('Call Log'!$I$5:$I$134,MATCH($A28&amp;"-R2",'Call Log'!$A$5:$A$134,0))&amp;"","")</f>
        <v/>
      </c>
      <c r="J28" s="18" t="str">
        <f aca="false">IFERROR(INDEX('Call Log'!$I$5:$I$134,MATCH($A28&amp;"-R3",'Call Log'!$A$5:$A$134,0))&amp;"","")</f>
        <v/>
      </c>
      <c r="K28" s="18" t="str">
        <f aca="false">IFERROR(INDEX('Call Log'!$I$5:$I$134,MATCH($A28&amp;"-R4",'Call Log'!$A$5:$A$134,0))&amp;"","")</f>
        <v/>
      </c>
      <c r="L28" s="18" t="str">
        <f aca="false">IFERROR(INDEX('Call Log'!$I$5:$I$134,MATCH($A28&amp;"-R5",'Call Log'!$A$5:$A$134,0))&amp;"","")</f>
        <v/>
      </c>
      <c r="M28" s="18" t="n">
        <f aca="false">COUNTIF(H28:L28,"?*")</f>
        <v>0</v>
      </c>
      <c r="N28" s="18" t="str">
        <f aca="false">IF(COUNTIFS('Call Log'!$B$5:$B$134,$A28,'Call Log'!$J$5:$J$134,"Teacher")+COUNTIFS('Call Log'!$B$5:$B$134,$A28,'Call Log'!$J$5:$J$134,"Manager")+COUNTIFS('Call Log'!$B$5:$B$134,$A28,'Call Log'!$J$5:$J$134,"Hotline")&gt;0,"Yes","No")</f>
        <v>No</v>
      </c>
      <c r="O28" s="18" t="str">
        <f aca="false">IF(COUNTIFS('Call Log'!$B$5:$B$134,$A28,'Call Log'!$K$5:$K$134,"Yes")&gt;0,"Yes","No")</f>
        <v>No</v>
      </c>
      <c r="P28" s="18" t="str">
        <f aca="false">IF(COUNTIFS('Call Log'!$B$5:$B$134,$A28,'Call Log'!$M$5:$M$134,"Yes")&gt;0,"Yes","No")</f>
        <v>No</v>
      </c>
      <c r="Q28" s="18" t="str">
        <f aca="false">IF(COUNTIFS('Call Log'!$B$5:$B$134,$A28,'Call Log'!$N$5:$N$134,"Yes")&gt;0,"Yes","No")</f>
        <v>No</v>
      </c>
      <c r="R28" s="20" t="str">
        <f aca="false">IFERROR(LOOKUP(2,1/(('Call Log'!$B$5:$B$134=$A28)*('Call Log'!$P$5:$P$134&lt;&gt;"")),'Call Log'!$P$5:$P$134),"")</f>
        <v/>
      </c>
      <c r="S28" s="18" t="str">
        <f aca="false">IFERROR(LOOKUP(2,1/(('Call Log'!$B$5:$B$134=$A28)*('Call Log'!$R$5:$R$134&lt;&gt;"")),'Call Log'!$R$5:$R$134)&amp;"","")</f>
        <v/>
      </c>
      <c r="T28" s="4" t="s">
        <v>22</v>
      </c>
      <c r="U28" s="21" t="str">
        <f aca="false">IFERROR(LOOKUP(2,1/(('Call Log'!$B$5:$B$134=$A28)*('Call Log'!$T$5:$T$134&lt;&gt;"")),'Call Log'!$T$5:$T$134),"")</f>
        <v/>
      </c>
      <c r="V28" s="22" t="s">
        <v>112</v>
      </c>
    </row>
    <row r="29" customFormat="false" ht="15" hidden="false" customHeight="false" outlineLevel="0" collapsed="false">
      <c r="A29" s="18" t="n">
        <v>25</v>
      </c>
      <c r="B29" s="4" t="s">
        <v>117</v>
      </c>
      <c r="C29" s="4" t="s">
        <v>101</v>
      </c>
      <c r="D29" s="19"/>
      <c r="E29" s="19"/>
      <c r="F29" s="19"/>
      <c r="G29" s="4" t="s">
        <v>63</v>
      </c>
      <c r="H29" s="18" t="str">
        <f aca="false">IFERROR(INDEX('Call Log'!$I$5:$I$134,MATCH($A29&amp;"-R1",'Call Log'!$A$5:$A$134,0))&amp;"","")</f>
        <v/>
      </c>
      <c r="I29" s="18" t="str">
        <f aca="false">IFERROR(INDEX('Call Log'!$I$5:$I$134,MATCH($A29&amp;"-R2",'Call Log'!$A$5:$A$134,0))&amp;"","")</f>
        <v/>
      </c>
      <c r="J29" s="18" t="str">
        <f aca="false">IFERROR(INDEX('Call Log'!$I$5:$I$134,MATCH($A29&amp;"-R3",'Call Log'!$A$5:$A$134,0))&amp;"","")</f>
        <v/>
      </c>
      <c r="K29" s="18" t="str">
        <f aca="false">IFERROR(INDEX('Call Log'!$I$5:$I$134,MATCH($A29&amp;"-R4",'Call Log'!$A$5:$A$134,0))&amp;"","")</f>
        <v/>
      </c>
      <c r="L29" s="18" t="str">
        <f aca="false">IFERROR(INDEX('Call Log'!$I$5:$I$134,MATCH($A29&amp;"-R5",'Call Log'!$A$5:$A$134,0))&amp;"","")</f>
        <v/>
      </c>
      <c r="M29" s="18" t="n">
        <f aca="false">COUNTIF(H29:L29,"?*")</f>
        <v>0</v>
      </c>
      <c r="N29" s="18" t="str">
        <f aca="false">IF(COUNTIFS('Call Log'!$B$5:$B$134,$A29,'Call Log'!$J$5:$J$134,"Teacher")+COUNTIFS('Call Log'!$B$5:$B$134,$A29,'Call Log'!$J$5:$J$134,"Manager")+COUNTIFS('Call Log'!$B$5:$B$134,$A29,'Call Log'!$J$5:$J$134,"Hotline")&gt;0,"Yes","No")</f>
        <v>No</v>
      </c>
      <c r="O29" s="18" t="str">
        <f aca="false">IF(COUNTIFS('Call Log'!$B$5:$B$134,$A29,'Call Log'!$K$5:$K$134,"Yes")&gt;0,"Yes","No")</f>
        <v>No</v>
      </c>
      <c r="P29" s="18" t="str">
        <f aca="false">IF(COUNTIFS('Call Log'!$B$5:$B$134,$A29,'Call Log'!$M$5:$M$134,"Yes")&gt;0,"Yes","No")</f>
        <v>No</v>
      </c>
      <c r="Q29" s="18" t="str">
        <f aca="false">IF(COUNTIFS('Call Log'!$B$5:$B$134,$A29,'Call Log'!$N$5:$N$134,"Yes")&gt;0,"Yes","No")</f>
        <v>No</v>
      </c>
      <c r="R29" s="20" t="str">
        <f aca="false">IFERROR(LOOKUP(2,1/(('Call Log'!$B$5:$B$134=$A29)*('Call Log'!$P$5:$P$134&lt;&gt;"")),'Call Log'!$P$5:$P$134),"")</f>
        <v/>
      </c>
      <c r="S29" s="18" t="str">
        <f aca="false">IFERROR(LOOKUP(2,1/(('Call Log'!$B$5:$B$134=$A29)*('Call Log'!$R$5:$R$134&lt;&gt;"")),'Call Log'!$R$5:$R$134)&amp;"","")</f>
        <v/>
      </c>
      <c r="T29" s="4" t="s">
        <v>22</v>
      </c>
      <c r="U29" s="21" t="str">
        <f aca="false">IFERROR(LOOKUP(2,1/(('Call Log'!$B$5:$B$134=$A29)*('Call Log'!$T$5:$T$134&lt;&gt;"")),'Call Log'!$T$5:$T$134),"")</f>
        <v/>
      </c>
      <c r="V29" s="22" t="s">
        <v>112</v>
      </c>
    </row>
    <row r="30" customFormat="false" ht="15" hidden="false" customHeight="false" outlineLevel="0" collapsed="false">
      <c r="A30" s="18" t="n">
        <v>26</v>
      </c>
      <c r="B30" s="4" t="s">
        <v>118</v>
      </c>
      <c r="C30" s="4" t="s">
        <v>58</v>
      </c>
      <c r="D30" s="19"/>
      <c r="E30" s="19"/>
      <c r="F30" s="19"/>
      <c r="G30" s="4" t="s">
        <v>63</v>
      </c>
      <c r="H30" s="18" t="str">
        <f aca="false">IFERROR(INDEX('Call Log'!$I$5:$I$134,MATCH($A30&amp;"-R1",'Call Log'!$A$5:$A$134,0))&amp;"","")</f>
        <v/>
      </c>
      <c r="I30" s="18" t="str">
        <f aca="false">IFERROR(INDEX('Call Log'!$I$5:$I$134,MATCH($A30&amp;"-R2",'Call Log'!$A$5:$A$134,0))&amp;"","")</f>
        <v/>
      </c>
      <c r="J30" s="18" t="str">
        <f aca="false">IFERROR(INDEX('Call Log'!$I$5:$I$134,MATCH($A30&amp;"-R3",'Call Log'!$A$5:$A$134,0))&amp;"","")</f>
        <v/>
      </c>
      <c r="K30" s="18" t="str">
        <f aca="false">IFERROR(INDEX('Call Log'!$I$5:$I$134,MATCH($A30&amp;"-R4",'Call Log'!$A$5:$A$134,0))&amp;"","")</f>
        <v/>
      </c>
      <c r="L30" s="18" t="str">
        <f aca="false">IFERROR(INDEX('Call Log'!$I$5:$I$134,MATCH($A30&amp;"-R5",'Call Log'!$A$5:$A$134,0))&amp;"","")</f>
        <v/>
      </c>
      <c r="M30" s="18" t="n">
        <f aca="false">COUNTIF(H30:L30,"?*")</f>
        <v>0</v>
      </c>
      <c r="N30" s="18" t="str">
        <f aca="false">IF(COUNTIFS('Call Log'!$B$5:$B$134,$A30,'Call Log'!$J$5:$J$134,"Teacher")+COUNTIFS('Call Log'!$B$5:$B$134,$A30,'Call Log'!$J$5:$J$134,"Manager")+COUNTIFS('Call Log'!$B$5:$B$134,$A30,'Call Log'!$J$5:$J$134,"Hotline")&gt;0,"Yes","No")</f>
        <v>No</v>
      </c>
      <c r="O30" s="18" t="str">
        <f aca="false">IF(COUNTIFS('Call Log'!$B$5:$B$134,$A30,'Call Log'!$K$5:$K$134,"Yes")&gt;0,"Yes","No")</f>
        <v>No</v>
      </c>
      <c r="P30" s="18" t="str">
        <f aca="false">IF(COUNTIFS('Call Log'!$B$5:$B$134,$A30,'Call Log'!$M$5:$M$134,"Yes")&gt;0,"Yes","No")</f>
        <v>No</v>
      </c>
      <c r="Q30" s="18" t="str">
        <f aca="false">IF(COUNTIFS('Call Log'!$B$5:$B$134,$A30,'Call Log'!$N$5:$N$134,"Yes")&gt;0,"Yes","No")</f>
        <v>No</v>
      </c>
      <c r="R30" s="20" t="str">
        <f aca="false">IFERROR(LOOKUP(2,1/(('Call Log'!$B$5:$B$134=$A30)*('Call Log'!$P$5:$P$134&lt;&gt;"")),'Call Log'!$P$5:$P$134),"")</f>
        <v/>
      </c>
      <c r="S30" s="18" t="str">
        <f aca="false">IFERROR(LOOKUP(2,1/(('Call Log'!$B$5:$B$134=$A30)*('Call Log'!$R$5:$R$134&lt;&gt;"")),'Call Log'!$R$5:$R$134)&amp;"","")</f>
        <v/>
      </c>
      <c r="T30" s="4" t="s">
        <v>22</v>
      </c>
      <c r="U30" s="21" t="str">
        <f aca="false">IFERROR(LOOKUP(2,1/(('Call Log'!$B$5:$B$134=$A30)*('Call Log'!$T$5:$T$134&lt;&gt;"")),'Call Log'!$T$5:$T$134),"")</f>
        <v/>
      </c>
      <c r="V30" s="22" t="s">
        <v>112</v>
      </c>
    </row>
  </sheetData>
  <autoFilter ref="A4:V30"/>
  <mergeCells count="1">
    <mergeCell ref="A2:V2"/>
  </mergeCells>
  <conditionalFormatting sqref="T5:T30">
    <cfRule type="cellIs" priority="2" operator="equal" aboveAverage="0" equalAverage="0" bottom="0" percent="0" rank="0" text="" dxfId="5">
      <formula>"Won"</formula>
    </cfRule>
    <cfRule type="cellIs" priority="3" operator="equal" aboveAverage="0" equalAverage="0" bottom="0" percent="0" rank="0" text="" dxfId="6">
      <formula>"Lost / Not interested"</formula>
    </cfRule>
    <cfRule type="cellIs" priority="4" operator="equal" aboveAverage="0" equalAverage="0" bottom="0" percent="0" rank="0" text="" dxfId="7">
      <formula>"Interested"</formula>
    </cfRule>
    <cfRule type="cellIs" priority="5" operator="equal" aboveAverage="0" equalAverage="0" bottom="0" percent="0" rank="0" text="" dxfId="8">
      <formula>"Negotiating"</formula>
    </cfRule>
  </conditionalFormatting>
  <conditionalFormatting sqref="H5:L30">
    <cfRule type="expression" priority="6" aboveAverage="0" equalAverage="0" bottom="0" percent="0" rank="0" text="" dxfId="5">
      <formula>LEFT(H5,8)="Answered"</formula>
    </cfRule>
    <cfRule type="expression" priority="7" aboveAverage="0" equalAverage="0" bottom="0" percent="0" rank="0" text="" dxfId="8">
      <formula>OR(H5="No answer",H5="Busy",H5="Call declined",LEFT(H5,8)="Switched")</formula>
    </cfRule>
    <cfRule type="expression" priority="8" aboveAverage="0" equalAverage="0" bottom="0" percent="0" rank="0" text="" dxfId="6">
      <formula>OR(H5="Wrong number",H5="Not interested")</formula>
    </cfRule>
  </conditionalFormatting>
  <dataValidations count="1">
    <dataValidation allowBlank="true" error="Pick a value from the list" errorStyle="warning" operator="between" showDropDown="false" showErrorMessage="false" showInputMessage="false" sqref="T5:T30" type="list">
      <formula1>Lists!$F$2:$F$7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20"/>
    <col collapsed="false" customWidth="true" hidden="false" outlineLevel="0" max="11" min="11" style="0" width="17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14"/>
    <col collapsed="false" customWidth="true" hidden="false" outlineLevel="0" max="17" min="17" style="0" width="15"/>
    <col collapsed="false" customWidth="true" hidden="false" outlineLevel="0" max="18" min="18" style="0" width="17"/>
    <col collapsed="false" customWidth="true" hidden="false" outlineLevel="0" max="19" min="19" style="0" width="26"/>
    <col collapsed="false" customWidth="true" hidden="false" outlineLevel="0" max="20" min="20" style="0" width="13"/>
    <col collapsed="false" customWidth="true" hidden="false" outlineLevel="0" max="21" min="21" style="0" width="40"/>
  </cols>
  <sheetData>
    <row r="1" customFormat="false" ht="17.35" hidden="false" customHeight="false" outlineLevel="0" collapsed="false">
      <c r="A1" s="1" t="s">
        <v>119</v>
      </c>
    </row>
    <row r="2" customFormat="false" ht="27.75" hidden="false" customHeight="true" outlineLevel="0" collapsed="false">
      <c r="A2" s="23" t="s">
        <v>120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customFormat="false" ht="15" hidden="false" customHeight="false" outlineLevel="0" collapsed="false">
      <c r="A3" s="24" t="s">
        <v>121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customFormat="false" ht="42" hidden="false" customHeight="true" outlineLevel="0" collapsed="false">
      <c r="A4" s="16" t="s">
        <v>122</v>
      </c>
      <c r="B4" s="16" t="s">
        <v>123</v>
      </c>
      <c r="C4" s="16" t="s">
        <v>36</v>
      </c>
      <c r="D4" s="16" t="s">
        <v>37</v>
      </c>
      <c r="E4" s="16" t="s">
        <v>124</v>
      </c>
      <c r="F4" s="16" t="s">
        <v>125</v>
      </c>
      <c r="G4" s="16" t="s">
        <v>126</v>
      </c>
      <c r="H4" s="16" t="s">
        <v>127</v>
      </c>
      <c r="I4" s="16" t="s">
        <v>128</v>
      </c>
      <c r="J4" s="16" t="s">
        <v>129</v>
      </c>
      <c r="K4" s="16" t="s">
        <v>49</v>
      </c>
      <c r="L4" s="16" t="s">
        <v>130</v>
      </c>
      <c r="M4" s="16" t="s">
        <v>50</v>
      </c>
      <c r="N4" s="16" t="s">
        <v>131</v>
      </c>
      <c r="O4" s="16" t="s">
        <v>132</v>
      </c>
      <c r="P4" s="16" t="s">
        <v>133</v>
      </c>
      <c r="Q4" s="16" t="s">
        <v>134</v>
      </c>
      <c r="R4" s="16" t="s">
        <v>135</v>
      </c>
      <c r="S4" s="16" t="s">
        <v>136</v>
      </c>
      <c r="T4" s="16" t="s">
        <v>137</v>
      </c>
      <c r="U4" s="16" t="s">
        <v>56</v>
      </c>
    </row>
    <row r="5" customFormat="false" ht="15" hidden="false" customHeight="false" outlineLevel="0" collapsed="false">
      <c r="A5" s="18" t="str">
        <f aca="false">B5&amp;"-R"&amp;E5</f>
        <v>1-R1</v>
      </c>
      <c r="B5" s="18" t="n">
        <v>1</v>
      </c>
      <c r="C5" s="18" t="str">
        <f aca="false">IFERROR(INDEX(Contacts!$B$5:$B$30,MATCH(B5,Contacts!$A$5:$A$30,0)),"")</f>
        <v>Darshana Ukuwela</v>
      </c>
      <c r="D5" s="18" t="str">
        <f aca="false">IFERROR(INDEX(Contacts!$C$5:$C$30,MATCH(B5,Contacts!$A$5:$A$30,0)),"")</f>
        <v>Physics</v>
      </c>
      <c r="E5" s="18" t="n">
        <v>1</v>
      </c>
      <c r="F5" s="25"/>
      <c r="G5" s="26"/>
      <c r="H5" s="19"/>
      <c r="I5" s="4"/>
      <c r="J5" s="4"/>
      <c r="K5" s="4"/>
      <c r="L5" s="4"/>
      <c r="M5" s="4"/>
      <c r="N5" s="4"/>
      <c r="O5" s="4"/>
      <c r="P5" s="27"/>
      <c r="Q5" s="27"/>
      <c r="R5" s="4"/>
      <c r="S5" s="4"/>
      <c r="T5" s="25"/>
      <c r="U5" s="22"/>
    </row>
    <row r="6" customFormat="false" ht="15" hidden="false" customHeight="false" outlineLevel="0" collapsed="false">
      <c r="A6" s="18" t="str">
        <f aca="false">B6&amp;"-R"&amp;E6</f>
        <v>1-R2</v>
      </c>
      <c r="B6" s="18" t="n">
        <v>1</v>
      </c>
      <c r="C6" s="18" t="str">
        <f aca="false">IFERROR(INDEX(Contacts!$B$5:$B$30,MATCH(B6,Contacts!$A$5:$A$30,0)),"")</f>
        <v>Darshana Ukuwela</v>
      </c>
      <c r="D6" s="18" t="str">
        <f aca="false">IFERROR(INDEX(Contacts!$C$5:$C$30,MATCH(B6,Contacts!$A$5:$A$30,0)),"")</f>
        <v>Physics</v>
      </c>
      <c r="E6" s="18" t="n">
        <v>2</v>
      </c>
      <c r="F6" s="25"/>
      <c r="G6" s="26"/>
      <c r="H6" s="19"/>
      <c r="I6" s="4"/>
      <c r="J6" s="4"/>
      <c r="K6" s="4"/>
      <c r="L6" s="4"/>
      <c r="M6" s="4"/>
      <c r="N6" s="4"/>
      <c r="O6" s="4"/>
      <c r="P6" s="27"/>
      <c r="Q6" s="27"/>
      <c r="R6" s="4"/>
      <c r="S6" s="4"/>
      <c r="T6" s="25"/>
      <c r="U6" s="22"/>
    </row>
    <row r="7" customFormat="false" ht="15" hidden="false" customHeight="false" outlineLevel="0" collapsed="false">
      <c r="A7" s="18" t="str">
        <f aca="false">B7&amp;"-R"&amp;E7</f>
        <v>1-R3</v>
      </c>
      <c r="B7" s="18" t="n">
        <v>1</v>
      </c>
      <c r="C7" s="18" t="str">
        <f aca="false">IFERROR(INDEX(Contacts!$B$5:$B$30,MATCH(B7,Contacts!$A$5:$A$30,0)),"")</f>
        <v>Darshana Ukuwela</v>
      </c>
      <c r="D7" s="18" t="str">
        <f aca="false">IFERROR(INDEX(Contacts!$C$5:$C$30,MATCH(B7,Contacts!$A$5:$A$30,0)),"")</f>
        <v>Physics</v>
      </c>
      <c r="E7" s="18" t="n">
        <v>3</v>
      </c>
      <c r="F7" s="25"/>
      <c r="G7" s="26"/>
      <c r="H7" s="19"/>
      <c r="I7" s="4"/>
      <c r="J7" s="4"/>
      <c r="K7" s="4"/>
      <c r="L7" s="4"/>
      <c r="M7" s="4"/>
      <c r="N7" s="4"/>
      <c r="O7" s="4"/>
      <c r="P7" s="27"/>
      <c r="Q7" s="27"/>
      <c r="R7" s="4"/>
      <c r="S7" s="4"/>
      <c r="T7" s="25"/>
      <c r="U7" s="22"/>
    </row>
    <row r="8" customFormat="false" ht="15" hidden="false" customHeight="false" outlineLevel="0" collapsed="false">
      <c r="A8" s="18" t="str">
        <f aca="false">B8&amp;"-R"&amp;E8</f>
        <v>1-R4</v>
      </c>
      <c r="B8" s="18" t="n">
        <v>1</v>
      </c>
      <c r="C8" s="18" t="str">
        <f aca="false">IFERROR(INDEX(Contacts!$B$5:$B$30,MATCH(B8,Contacts!$A$5:$A$30,0)),"")</f>
        <v>Darshana Ukuwela</v>
      </c>
      <c r="D8" s="18" t="str">
        <f aca="false">IFERROR(INDEX(Contacts!$C$5:$C$30,MATCH(B8,Contacts!$A$5:$A$30,0)),"")</f>
        <v>Physics</v>
      </c>
      <c r="E8" s="18" t="n">
        <v>4</v>
      </c>
      <c r="F8" s="25"/>
      <c r="G8" s="26"/>
      <c r="H8" s="19"/>
      <c r="I8" s="4"/>
      <c r="J8" s="4"/>
      <c r="K8" s="4"/>
      <c r="L8" s="4"/>
      <c r="M8" s="4"/>
      <c r="N8" s="4"/>
      <c r="O8" s="4"/>
      <c r="P8" s="27"/>
      <c r="Q8" s="27"/>
      <c r="R8" s="4"/>
      <c r="S8" s="4"/>
      <c r="T8" s="25"/>
      <c r="U8" s="22"/>
    </row>
    <row r="9" customFormat="false" ht="15" hidden="false" customHeight="false" outlineLevel="0" collapsed="false">
      <c r="A9" s="28" t="str">
        <f aca="false">B9&amp;"-R"&amp;E9</f>
        <v>1-R5</v>
      </c>
      <c r="B9" s="28" t="n">
        <v>1</v>
      </c>
      <c r="C9" s="28" t="str">
        <f aca="false">IFERROR(INDEX(Contacts!$B$5:$B$30,MATCH(B9,Contacts!$A$5:$A$30,0)),"")</f>
        <v>Darshana Ukuwela</v>
      </c>
      <c r="D9" s="28" t="str">
        <f aca="false">IFERROR(INDEX(Contacts!$C$5:$C$30,MATCH(B9,Contacts!$A$5:$A$30,0)),"")</f>
        <v>Physics</v>
      </c>
      <c r="E9" s="28" t="n">
        <v>5</v>
      </c>
      <c r="F9" s="29"/>
      <c r="G9" s="30"/>
      <c r="H9" s="31"/>
      <c r="I9" s="32"/>
      <c r="J9" s="32"/>
      <c r="K9" s="32"/>
      <c r="L9" s="32"/>
      <c r="M9" s="32"/>
      <c r="N9" s="32"/>
      <c r="O9" s="32"/>
      <c r="P9" s="33"/>
      <c r="Q9" s="33"/>
      <c r="R9" s="32"/>
      <c r="S9" s="32"/>
      <c r="T9" s="29"/>
      <c r="U9" s="34"/>
    </row>
    <row r="10" customFormat="false" ht="15" hidden="false" customHeight="false" outlineLevel="0" collapsed="false">
      <c r="A10" s="18" t="str">
        <f aca="false">B10&amp;"-R"&amp;E10</f>
        <v>2-R1</v>
      </c>
      <c r="B10" s="18" t="n">
        <v>2</v>
      </c>
      <c r="C10" s="18" t="str">
        <f aca="false">IFERROR(INDEX(Contacts!$B$5:$B$30,MATCH(B10,Contacts!$A$5:$A$30,0)),"")</f>
        <v>Nilantha Jayasuriya</v>
      </c>
      <c r="D10" s="18" t="str">
        <f aca="false">IFERROR(INDEX(Contacts!$C$5:$C$30,MATCH(B10,Contacts!$A$5:$A$30,0)),"")</f>
        <v>Physics</v>
      </c>
      <c r="E10" s="18" t="n">
        <v>1</v>
      </c>
      <c r="F10" s="25"/>
      <c r="G10" s="26"/>
      <c r="H10" s="19"/>
      <c r="I10" s="4"/>
      <c r="J10" s="4"/>
      <c r="K10" s="4"/>
      <c r="L10" s="4"/>
      <c r="M10" s="4"/>
      <c r="N10" s="4"/>
      <c r="O10" s="4"/>
      <c r="P10" s="27"/>
      <c r="Q10" s="27"/>
      <c r="R10" s="4"/>
      <c r="S10" s="4"/>
      <c r="T10" s="25"/>
      <c r="U10" s="22"/>
    </row>
    <row r="11" customFormat="false" ht="15" hidden="false" customHeight="false" outlineLevel="0" collapsed="false">
      <c r="A11" s="18" t="str">
        <f aca="false">B11&amp;"-R"&amp;E11</f>
        <v>2-R2</v>
      </c>
      <c r="B11" s="18" t="n">
        <v>2</v>
      </c>
      <c r="C11" s="18" t="str">
        <f aca="false">IFERROR(INDEX(Contacts!$B$5:$B$30,MATCH(B11,Contacts!$A$5:$A$30,0)),"")</f>
        <v>Nilantha Jayasuriya</v>
      </c>
      <c r="D11" s="18" t="str">
        <f aca="false">IFERROR(INDEX(Contacts!$C$5:$C$30,MATCH(B11,Contacts!$A$5:$A$30,0)),"")</f>
        <v>Physics</v>
      </c>
      <c r="E11" s="18" t="n">
        <v>2</v>
      </c>
      <c r="F11" s="25"/>
      <c r="G11" s="26"/>
      <c r="H11" s="19"/>
      <c r="I11" s="4"/>
      <c r="J11" s="4"/>
      <c r="K11" s="4"/>
      <c r="L11" s="4"/>
      <c r="M11" s="4"/>
      <c r="N11" s="4"/>
      <c r="O11" s="4"/>
      <c r="P11" s="27"/>
      <c r="Q11" s="27"/>
      <c r="R11" s="4"/>
      <c r="S11" s="4"/>
      <c r="T11" s="25"/>
      <c r="U11" s="22"/>
    </row>
    <row r="12" customFormat="false" ht="15" hidden="false" customHeight="false" outlineLevel="0" collapsed="false">
      <c r="A12" s="18" t="str">
        <f aca="false">B12&amp;"-R"&amp;E12</f>
        <v>2-R3</v>
      </c>
      <c r="B12" s="18" t="n">
        <v>2</v>
      </c>
      <c r="C12" s="18" t="str">
        <f aca="false">IFERROR(INDEX(Contacts!$B$5:$B$30,MATCH(B12,Contacts!$A$5:$A$30,0)),"")</f>
        <v>Nilantha Jayasuriya</v>
      </c>
      <c r="D12" s="18" t="str">
        <f aca="false">IFERROR(INDEX(Contacts!$C$5:$C$30,MATCH(B12,Contacts!$A$5:$A$30,0)),"")</f>
        <v>Physics</v>
      </c>
      <c r="E12" s="18" t="n">
        <v>3</v>
      </c>
      <c r="F12" s="25"/>
      <c r="G12" s="26"/>
      <c r="H12" s="19"/>
      <c r="I12" s="4"/>
      <c r="J12" s="4"/>
      <c r="K12" s="4"/>
      <c r="L12" s="4"/>
      <c r="M12" s="4"/>
      <c r="N12" s="4"/>
      <c r="O12" s="4"/>
      <c r="P12" s="27"/>
      <c r="Q12" s="27"/>
      <c r="R12" s="4"/>
      <c r="S12" s="4"/>
      <c r="T12" s="25"/>
      <c r="U12" s="22"/>
    </row>
    <row r="13" customFormat="false" ht="15" hidden="false" customHeight="false" outlineLevel="0" collapsed="false">
      <c r="A13" s="18" t="str">
        <f aca="false">B13&amp;"-R"&amp;E13</f>
        <v>2-R4</v>
      </c>
      <c r="B13" s="18" t="n">
        <v>2</v>
      </c>
      <c r="C13" s="18" t="str">
        <f aca="false">IFERROR(INDEX(Contacts!$B$5:$B$30,MATCH(B13,Contacts!$A$5:$A$30,0)),"")</f>
        <v>Nilantha Jayasuriya</v>
      </c>
      <c r="D13" s="18" t="str">
        <f aca="false">IFERROR(INDEX(Contacts!$C$5:$C$30,MATCH(B13,Contacts!$A$5:$A$30,0)),"")</f>
        <v>Physics</v>
      </c>
      <c r="E13" s="18" t="n">
        <v>4</v>
      </c>
      <c r="F13" s="25"/>
      <c r="G13" s="26"/>
      <c r="H13" s="19"/>
      <c r="I13" s="4"/>
      <c r="J13" s="4"/>
      <c r="K13" s="4"/>
      <c r="L13" s="4"/>
      <c r="M13" s="4"/>
      <c r="N13" s="4"/>
      <c r="O13" s="4"/>
      <c r="P13" s="27"/>
      <c r="Q13" s="27"/>
      <c r="R13" s="4"/>
      <c r="S13" s="4"/>
      <c r="T13" s="25"/>
      <c r="U13" s="22"/>
    </row>
    <row r="14" customFormat="false" ht="15" hidden="false" customHeight="false" outlineLevel="0" collapsed="false">
      <c r="A14" s="28" t="str">
        <f aca="false">B14&amp;"-R"&amp;E14</f>
        <v>2-R5</v>
      </c>
      <c r="B14" s="28" t="n">
        <v>2</v>
      </c>
      <c r="C14" s="28" t="str">
        <f aca="false">IFERROR(INDEX(Contacts!$B$5:$B$30,MATCH(B14,Contacts!$A$5:$A$30,0)),"")</f>
        <v>Nilantha Jayasuriya</v>
      </c>
      <c r="D14" s="28" t="str">
        <f aca="false">IFERROR(INDEX(Contacts!$C$5:$C$30,MATCH(B14,Contacts!$A$5:$A$30,0)),"")</f>
        <v>Physics</v>
      </c>
      <c r="E14" s="28" t="n">
        <v>5</v>
      </c>
      <c r="F14" s="29"/>
      <c r="G14" s="30"/>
      <c r="H14" s="31"/>
      <c r="I14" s="32"/>
      <c r="J14" s="32"/>
      <c r="K14" s="32"/>
      <c r="L14" s="32"/>
      <c r="M14" s="32"/>
      <c r="N14" s="32"/>
      <c r="O14" s="32"/>
      <c r="P14" s="33"/>
      <c r="Q14" s="33"/>
      <c r="R14" s="32"/>
      <c r="S14" s="32"/>
      <c r="T14" s="29"/>
      <c r="U14" s="34"/>
    </row>
    <row r="15" customFormat="false" ht="15" hidden="false" customHeight="false" outlineLevel="0" collapsed="false">
      <c r="A15" s="18" t="str">
        <f aca="false">B15&amp;"-R"&amp;E15</f>
        <v>3-R1</v>
      </c>
      <c r="B15" s="18" t="n">
        <v>3</v>
      </c>
      <c r="C15" s="18" t="str">
        <f aca="false">IFERROR(INDEX(Contacts!$B$5:$B$30,MATCH(B15,Contacts!$A$5:$A$30,0)),"")</f>
        <v>Janindu Leelananda</v>
      </c>
      <c r="D15" s="18" t="str">
        <f aca="false">IFERROR(INDEX(Contacts!$C$5:$C$30,MATCH(B15,Contacts!$A$5:$A$30,0)),"")</f>
        <v>Physics</v>
      </c>
      <c r="E15" s="18" t="n">
        <v>1</v>
      </c>
      <c r="F15" s="25"/>
      <c r="G15" s="26"/>
      <c r="H15" s="19"/>
      <c r="I15" s="4"/>
      <c r="J15" s="4"/>
      <c r="K15" s="4"/>
      <c r="L15" s="4"/>
      <c r="M15" s="4"/>
      <c r="N15" s="4"/>
      <c r="O15" s="4"/>
      <c r="P15" s="27"/>
      <c r="Q15" s="27"/>
      <c r="R15" s="4"/>
      <c r="S15" s="4"/>
      <c r="T15" s="25"/>
      <c r="U15" s="22"/>
    </row>
    <row r="16" customFormat="false" ht="15" hidden="false" customHeight="false" outlineLevel="0" collapsed="false">
      <c r="A16" s="18" t="str">
        <f aca="false">B16&amp;"-R"&amp;E16</f>
        <v>3-R2</v>
      </c>
      <c r="B16" s="18" t="n">
        <v>3</v>
      </c>
      <c r="C16" s="18" t="str">
        <f aca="false">IFERROR(INDEX(Contacts!$B$5:$B$30,MATCH(B16,Contacts!$A$5:$A$30,0)),"")</f>
        <v>Janindu Leelananda</v>
      </c>
      <c r="D16" s="18" t="str">
        <f aca="false">IFERROR(INDEX(Contacts!$C$5:$C$30,MATCH(B16,Contacts!$A$5:$A$30,0)),"")</f>
        <v>Physics</v>
      </c>
      <c r="E16" s="18" t="n">
        <v>2</v>
      </c>
      <c r="F16" s="25"/>
      <c r="G16" s="26"/>
      <c r="H16" s="19"/>
      <c r="I16" s="4"/>
      <c r="J16" s="4"/>
      <c r="K16" s="4"/>
      <c r="L16" s="4"/>
      <c r="M16" s="4"/>
      <c r="N16" s="4"/>
      <c r="O16" s="4"/>
      <c r="P16" s="27"/>
      <c r="Q16" s="27"/>
      <c r="R16" s="4"/>
      <c r="S16" s="4"/>
      <c r="T16" s="25"/>
      <c r="U16" s="22"/>
    </row>
    <row r="17" customFormat="false" ht="15" hidden="false" customHeight="false" outlineLevel="0" collapsed="false">
      <c r="A17" s="18" t="str">
        <f aca="false">B17&amp;"-R"&amp;E17</f>
        <v>3-R3</v>
      </c>
      <c r="B17" s="18" t="n">
        <v>3</v>
      </c>
      <c r="C17" s="18" t="str">
        <f aca="false">IFERROR(INDEX(Contacts!$B$5:$B$30,MATCH(B17,Contacts!$A$5:$A$30,0)),"")</f>
        <v>Janindu Leelananda</v>
      </c>
      <c r="D17" s="18" t="str">
        <f aca="false">IFERROR(INDEX(Contacts!$C$5:$C$30,MATCH(B17,Contacts!$A$5:$A$30,0)),"")</f>
        <v>Physics</v>
      </c>
      <c r="E17" s="18" t="n">
        <v>3</v>
      </c>
      <c r="F17" s="25"/>
      <c r="G17" s="26"/>
      <c r="H17" s="19"/>
      <c r="I17" s="4"/>
      <c r="J17" s="4"/>
      <c r="K17" s="4"/>
      <c r="L17" s="4"/>
      <c r="M17" s="4"/>
      <c r="N17" s="4"/>
      <c r="O17" s="4"/>
      <c r="P17" s="27"/>
      <c r="Q17" s="27"/>
      <c r="R17" s="4"/>
      <c r="S17" s="4"/>
      <c r="T17" s="25"/>
      <c r="U17" s="22"/>
    </row>
    <row r="18" customFormat="false" ht="15" hidden="false" customHeight="false" outlineLevel="0" collapsed="false">
      <c r="A18" s="18" t="str">
        <f aca="false">B18&amp;"-R"&amp;E18</f>
        <v>3-R4</v>
      </c>
      <c r="B18" s="18" t="n">
        <v>3</v>
      </c>
      <c r="C18" s="18" t="str">
        <f aca="false">IFERROR(INDEX(Contacts!$B$5:$B$30,MATCH(B18,Contacts!$A$5:$A$30,0)),"")</f>
        <v>Janindu Leelananda</v>
      </c>
      <c r="D18" s="18" t="str">
        <f aca="false">IFERROR(INDEX(Contacts!$C$5:$C$30,MATCH(B18,Contacts!$A$5:$A$30,0)),"")</f>
        <v>Physics</v>
      </c>
      <c r="E18" s="18" t="n">
        <v>4</v>
      </c>
      <c r="F18" s="25"/>
      <c r="G18" s="26"/>
      <c r="H18" s="19"/>
      <c r="I18" s="4"/>
      <c r="J18" s="4"/>
      <c r="K18" s="4"/>
      <c r="L18" s="4"/>
      <c r="M18" s="4"/>
      <c r="N18" s="4"/>
      <c r="O18" s="4"/>
      <c r="P18" s="27"/>
      <c r="Q18" s="27"/>
      <c r="R18" s="4"/>
      <c r="S18" s="4"/>
      <c r="T18" s="25"/>
      <c r="U18" s="22"/>
    </row>
    <row r="19" customFormat="false" ht="15" hidden="false" customHeight="false" outlineLevel="0" collapsed="false">
      <c r="A19" s="28" t="str">
        <f aca="false">B19&amp;"-R"&amp;E19</f>
        <v>3-R5</v>
      </c>
      <c r="B19" s="28" t="n">
        <v>3</v>
      </c>
      <c r="C19" s="28" t="str">
        <f aca="false">IFERROR(INDEX(Contacts!$B$5:$B$30,MATCH(B19,Contacts!$A$5:$A$30,0)),"")</f>
        <v>Janindu Leelananda</v>
      </c>
      <c r="D19" s="28" t="str">
        <f aca="false">IFERROR(INDEX(Contacts!$C$5:$C$30,MATCH(B19,Contacts!$A$5:$A$30,0)),"")</f>
        <v>Physics</v>
      </c>
      <c r="E19" s="28" t="n">
        <v>5</v>
      </c>
      <c r="F19" s="29"/>
      <c r="G19" s="30"/>
      <c r="H19" s="31"/>
      <c r="I19" s="32"/>
      <c r="J19" s="32"/>
      <c r="K19" s="32"/>
      <c r="L19" s="32"/>
      <c r="M19" s="32"/>
      <c r="N19" s="32"/>
      <c r="O19" s="32"/>
      <c r="P19" s="33"/>
      <c r="Q19" s="33"/>
      <c r="R19" s="32"/>
      <c r="S19" s="32"/>
      <c r="T19" s="29"/>
      <c r="U19" s="34"/>
    </row>
    <row r="20" customFormat="false" ht="15" hidden="false" customHeight="false" outlineLevel="0" collapsed="false">
      <c r="A20" s="18" t="str">
        <f aca="false">B20&amp;"-R"&amp;E20</f>
        <v>4-R1</v>
      </c>
      <c r="B20" s="18" t="n">
        <v>4</v>
      </c>
      <c r="C20" s="18" t="str">
        <f aca="false">IFERROR(INDEX(Contacts!$B$5:$B$30,MATCH(B20,Contacts!$A$5:$A$30,0)),"")</f>
        <v>Mahen Jecob</v>
      </c>
      <c r="D20" s="18" t="str">
        <f aca="false">IFERROR(INDEX(Contacts!$C$5:$C$30,MATCH(B20,Contacts!$A$5:$A$30,0)),"")</f>
        <v>Physics</v>
      </c>
      <c r="E20" s="18" t="n">
        <v>1</v>
      </c>
      <c r="F20" s="25"/>
      <c r="G20" s="26"/>
      <c r="H20" s="19"/>
      <c r="I20" s="4"/>
      <c r="J20" s="4"/>
      <c r="K20" s="4"/>
      <c r="L20" s="4"/>
      <c r="M20" s="4"/>
      <c r="N20" s="4"/>
      <c r="O20" s="4"/>
      <c r="P20" s="27"/>
      <c r="Q20" s="27"/>
      <c r="R20" s="4"/>
      <c r="S20" s="4"/>
      <c r="T20" s="25"/>
      <c r="U20" s="22"/>
    </row>
    <row r="21" customFormat="false" ht="15" hidden="false" customHeight="false" outlineLevel="0" collapsed="false">
      <c r="A21" s="18" t="str">
        <f aca="false">B21&amp;"-R"&amp;E21</f>
        <v>4-R2</v>
      </c>
      <c r="B21" s="18" t="n">
        <v>4</v>
      </c>
      <c r="C21" s="18" t="str">
        <f aca="false">IFERROR(INDEX(Contacts!$B$5:$B$30,MATCH(B21,Contacts!$A$5:$A$30,0)),"")</f>
        <v>Mahen Jecob</v>
      </c>
      <c r="D21" s="18" t="str">
        <f aca="false">IFERROR(INDEX(Contacts!$C$5:$C$30,MATCH(B21,Contacts!$A$5:$A$30,0)),"")</f>
        <v>Physics</v>
      </c>
      <c r="E21" s="18" t="n">
        <v>2</v>
      </c>
      <c r="F21" s="25"/>
      <c r="G21" s="26"/>
      <c r="H21" s="19"/>
      <c r="I21" s="4"/>
      <c r="J21" s="4"/>
      <c r="K21" s="4"/>
      <c r="L21" s="4"/>
      <c r="M21" s="4"/>
      <c r="N21" s="4"/>
      <c r="O21" s="4"/>
      <c r="P21" s="27"/>
      <c r="Q21" s="27"/>
      <c r="R21" s="4"/>
      <c r="S21" s="4"/>
      <c r="T21" s="25"/>
      <c r="U21" s="22"/>
    </row>
    <row r="22" customFormat="false" ht="15" hidden="false" customHeight="false" outlineLevel="0" collapsed="false">
      <c r="A22" s="18" t="str">
        <f aca="false">B22&amp;"-R"&amp;E22</f>
        <v>4-R3</v>
      </c>
      <c r="B22" s="18" t="n">
        <v>4</v>
      </c>
      <c r="C22" s="18" t="str">
        <f aca="false">IFERROR(INDEX(Contacts!$B$5:$B$30,MATCH(B22,Contacts!$A$5:$A$30,0)),"")</f>
        <v>Mahen Jecob</v>
      </c>
      <c r="D22" s="18" t="str">
        <f aca="false">IFERROR(INDEX(Contacts!$C$5:$C$30,MATCH(B22,Contacts!$A$5:$A$30,0)),"")</f>
        <v>Physics</v>
      </c>
      <c r="E22" s="18" t="n">
        <v>3</v>
      </c>
      <c r="F22" s="25"/>
      <c r="G22" s="26"/>
      <c r="H22" s="19"/>
      <c r="I22" s="4"/>
      <c r="J22" s="4"/>
      <c r="K22" s="4"/>
      <c r="L22" s="4"/>
      <c r="M22" s="4"/>
      <c r="N22" s="4"/>
      <c r="O22" s="4"/>
      <c r="P22" s="27"/>
      <c r="Q22" s="27"/>
      <c r="R22" s="4"/>
      <c r="S22" s="4"/>
      <c r="T22" s="25"/>
      <c r="U22" s="22"/>
    </row>
    <row r="23" customFormat="false" ht="15" hidden="false" customHeight="false" outlineLevel="0" collapsed="false">
      <c r="A23" s="18" t="str">
        <f aca="false">B23&amp;"-R"&amp;E23</f>
        <v>4-R4</v>
      </c>
      <c r="B23" s="18" t="n">
        <v>4</v>
      </c>
      <c r="C23" s="18" t="str">
        <f aca="false">IFERROR(INDEX(Contacts!$B$5:$B$30,MATCH(B23,Contacts!$A$5:$A$30,0)),"")</f>
        <v>Mahen Jecob</v>
      </c>
      <c r="D23" s="18" t="str">
        <f aca="false">IFERROR(INDEX(Contacts!$C$5:$C$30,MATCH(B23,Contacts!$A$5:$A$30,0)),"")</f>
        <v>Physics</v>
      </c>
      <c r="E23" s="18" t="n">
        <v>4</v>
      </c>
      <c r="F23" s="25"/>
      <c r="G23" s="26"/>
      <c r="H23" s="19"/>
      <c r="I23" s="4"/>
      <c r="J23" s="4"/>
      <c r="K23" s="4"/>
      <c r="L23" s="4"/>
      <c r="M23" s="4"/>
      <c r="N23" s="4"/>
      <c r="O23" s="4"/>
      <c r="P23" s="27"/>
      <c r="Q23" s="27"/>
      <c r="R23" s="4"/>
      <c r="S23" s="4"/>
      <c r="T23" s="25"/>
      <c r="U23" s="22"/>
    </row>
    <row r="24" customFormat="false" ht="15" hidden="false" customHeight="false" outlineLevel="0" collapsed="false">
      <c r="A24" s="28" t="str">
        <f aca="false">B24&amp;"-R"&amp;E24</f>
        <v>4-R5</v>
      </c>
      <c r="B24" s="28" t="n">
        <v>4</v>
      </c>
      <c r="C24" s="28" t="str">
        <f aca="false">IFERROR(INDEX(Contacts!$B$5:$B$30,MATCH(B24,Contacts!$A$5:$A$30,0)),"")</f>
        <v>Mahen Jecob</v>
      </c>
      <c r="D24" s="28" t="str">
        <f aca="false">IFERROR(INDEX(Contacts!$C$5:$C$30,MATCH(B24,Contacts!$A$5:$A$30,0)),"")</f>
        <v>Physics</v>
      </c>
      <c r="E24" s="28" t="n">
        <v>5</v>
      </c>
      <c r="F24" s="29"/>
      <c r="G24" s="30"/>
      <c r="H24" s="31"/>
      <c r="I24" s="32"/>
      <c r="J24" s="32"/>
      <c r="K24" s="32"/>
      <c r="L24" s="32"/>
      <c r="M24" s="32"/>
      <c r="N24" s="32"/>
      <c r="O24" s="32"/>
      <c r="P24" s="33"/>
      <c r="Q24" s="33"/>
      <c r="R24" s="32"/>
      <c r="S24" s="32"/>
      <c r="T24" s="29"/>
      <c r="U24" s="34"/>
    </row>
    <row r="25" customFormat="false" ht="15" hidden="false" customHeight="false" outlineLevel="0" collapsed="false">
      <c r="A25" s="18" t="str">
        <f aca="false">B25&amp;"-R"&amp;E25</f>
        <v>5-R1</v>
      </c>
      <c r="B25" s="18" t="n">
        <v>5</v>
      </c>
      <c r="C25" s="18" t="str">
        <f aca="false">IFERROR(INDEX(Contacts!$B$5:$B$30,MATCH(B25,Contacts!$A$5:$A$30,0)),"")</f>
        <v>Charitha Dissanayake</v>
      </c>
      <c r="D25" s="18" t="str">
        <f aca="false">IFERROR(INDEX(Contacts!$C$5:$C$30,MATCH(B25,Contacts!$A$5:$A$30,0)),"")</f>
        <v>Chemistry</v>
      </c>
      <c r="E25" s="18" t="n">
        <v>1</v>
      </c>
      <c r="F25" s="25"/>
      <c r="G25" s="26"/>
      <c r="H25" s="19"/>
      <c r="I25" s="4"/>
      <c r="J25" s="4"/>
      <c r="K25" s="4"/>
      <c r="L25" s="4"/>
      <c r="M25" s="4"/>
      <c r="N25" s="4"/>
      <c r="O25" s="4"/>
      <c r="P25" s="27"/>
      <c r="Q25" s="27"/>
      <c r="R25" s="4"/>
      <c r="S25" s="4"/>
      <c r="T25" s="25"/>
      <c r="U25" s="22"/>
    </row>
    <row r="26" customFormat="false" ht="15" hidden="false" customHeight="false" outlineLevel="0" collapsed="false">
      <c r="A26" s="18" t="str">
        <f aca="false">B26&amp;"-R"&amp;E26</f>
        <v>5-R2</v>
      </c>
      <c r="B26" s="18" t="n">
        <v>5</v>
      </c>
      <c r="C26" s="18" t="str">
        <f aca="false">IFERROR(INDEX(Contacts!$B$5:$B$30,MATCH(B26,Contacts!$A$5:$A$30,0)),"")</f>
        <v>Charitha Dissanayake</v>
      </c>
      <c r="D26" s="18" t="str">
        <f aca="false">IFERROR(INDEX(Contacts!$C$5:$C$30,MATCH(B26,Contacts!$A$5:$A$30,0)),"")</f>
        <v>Chemistry</v>
      </c>
      <c r="E26" s="18" t="n">
        <v>2</v>
      </c>
      <c r="F26" s="25"/>
      <c r="G26" s="26"/>
      <c r="H26" s="19"/>
      <c r="I26" s="4"/>
      <c r="J26" s="4"/>
      <c r="K26" s="4"/>
      <c r="L26" s="4"/>
      <c r="M26" s="4"/>
      <c r="N26" s="4"/>
      <c r="O26" s="4"/>
      <c r="P26" s="27"/>
      <c r="Q26" s="27"/>
      <c r="R26" s="4"/>
      <c r="S26" s="4"/>
      <c r="T26" s="25"/>
      <c r="U26" s="22"/>
    </row>
    <row r="27" customFormat="false" ht="15" hidden="false" customHeight="false" outlineLevel="0" collapsed="false">
      <c r="A27" s="18" t="str">
        <f aca="false">B27&amp;"-R"&amp;E27</f>
        <v>5-R3</v>
      </c>
      <c r="B27" s="18" t="n">
        <v>5</v>
      </c>
      <c r="C27" s="18" t="str">
        <f aca="false">IFERROR(INDEX(Contacts!$B$5:$B$30,MATCH(B27,Contacts!$A$5:$A$30,0)),"")</f>
        <v>Charitha Dissanayake</v>
      </c>
      <c r="D27" s="18" t="str">
        <f aca="false">IFERROR(INDEX(Contacts!$C$5:$C$30,MATCH(B27,Contacts!$A$5:$A$30,0)),"")</f>
        <v>Chemistry</v>
      </c>
      <c r="E27" s="18" t="n">
        <v>3</v>
      </c>
      <c r="F27" s="25"/>
      <c r="G27" s="26"/>
      <c r="H27" s="19"/>
      <c r="I27" s="4"/>
      <c r="J27" s="4"/>
      <c r="K27" s="4"/>
      <c r="L27" s="4"/>
      <c r="M27" s="4"/>
      <c r="N27" s="4"/>
      <c r="O27" s="4"/>
      <c r="P27" s="27"/>
      <c r="Q27" s="27"/>
      <c r="R27" s="4"/>
      <c r="S27" s="4"/>
      <c r="T27" s="25"/>
      <c r="U27" s="22"/>
    </row>
    <row r="28" customFormat="false" ht="15" hidden="false" customHeight="false" outlineLevel="0" collapsed="false">
      <c r="A28" s="18" t="str">
        <f aca="false">B28&amp;"-R"&amp;E28</f>
        <v>5-R4</v>
      </c>
      <c r="B28" s="18" t="n">
        <v>5</v>
      </c>
      <c r="C28" s="18" t="str">
        <f aca="false">IFERROR(INDEX(Contacts!$B$5:$B$30,MATCH(B28,Contacts!$A$5:$A$30,0)),"")</f>
        <v>Charitha Dissanayake</v>
      </c>
      <c r="D28" s="18" t="str">
        <f aca="false">IFERROR(INDEX(Contacts!$C$5:$C$30,MATCH(B28,Contacts!$A$5:$A$30,0)),"")</f>
        <v>Chemistry</v>
      </c>
      <c r="E28" s="18" t="n">
        <v>4</v>
      </c>
      <c r="F28" s="25"/>
      <c r="G28" s="26"/>
      <c r="H28" s="19"/>
      <c r="I28" s="4"/>
      <c r="J28" s="4"/>
      <c r="K28" s="4"/>
      <c r="L28" s="4"/>
      <c r="M28" s="4"/>
      <c r="N28" s="4"/>
      <c r="O28" s="4"/>
      <c r="P28" s="27"/>
      <c r="Q28" s="27"/>
      <c r="R28" s="4"/>
      <c r="S28" s="4"/>
      <c r="T28" s="25"/>
      <c r="U28" s="22"/>
    </row>
    <row r="29" customFormat="false" ht="15" hidden="false" customHeight="false" outlineLevel="0" collapsed="false">
      <c r="A29" s="28" t="str">
        <f aca="false">B29&amp;"-R"&amp;E29</f>
        <v>5-R5</v>
      </c>
      <c r="B29" s="28" t="n">
        <v>5</v>
      </c>
      <c r="C29" s="28" t="str">
        <f aca="false">IFERROR(INDEX(Contacts!$B$5:$B$30,MATCH(B29,Contacts!$A$5:$A$30,0)),"")</f>
        <v>Charitha Dissanayake</v>
      </c>
      <c r="D29" s="28" t="str">
        <f aca="false">IFERROR(INDEX(Contacts!$C$5:$C$30,MATCH(B29,Contacts!$A$5:$A$30,0)),"")</f>
        <v>Chemistry</v>
      </c>
      <c r="E29" s="28" t="n">
        <v>5</v>
      </c>
      <c r="F29" s="29"/>
      <c r="G29" s="30"/>
      <c r="H29" s="31"/>
      <c r="I29" s="32"/>
      <c r="J29" s="32"/>
      <c r="K29" s="32"/>
      <c r="L29" s="32"/>
      <c r="M29" s="32"/>
      <c r="N29" s="32"/>
      <c r="O29" s="32"/>
      <c r="P29" s="33"/>
      <c r="Q29" s="33"/>
      <c r="R29" s="32"/>
      <c r="S29" s="32"/>
      <c r="T29" s="29"/>
      <c r="U29" s="34"/>
    </row>
    <row r="30" customFormat="false" ht="15" hidden="false" customHeight="false" outlineLevel="0" collapsed="false">
      <c r="A30" s="18" t="str">
        <f aca="false">B30&amp;"-R"&amp;E30</f>
        <v>6-R1</v>
      </c>
      <c r="B30" s="18" t="n">
        <v>6</v>
      </c>
      <c r="C30" s="18" t="str">
        <f aca="false">IFERROR(INDEX(Contacts!$B$5:$B$30,MATCH(B30,Contacts!$A$5:$A$30,0)),"")</f>
        <v>Kelum Senanayake</v>
      </c>
      <c r="D30" s="18" t="str">
        <f aca="false">IFERROR(INDEX(Contacts!$C$5:$C$30,MATCH(B30,Contacts!$A$5:$A$30,0)),"")</f>
        <v>Chemistry</v>
      </c>
      <c r="E30" s="18" t="n">
        <v>1</v>
      </c>
      <c r="F30" s="25"/>
      <c r="G30" s="26"/>
      <c r="H30" s="19"/>
      <c r="I30" s="4"/>
      <c r="J30" s="4"/>
      <c r="K30" s="4"/>
      <c r="L30" s="4"/>
      <c r="M30" s="4"/>
      <c r="N30" s="4"/>
      <c r="O30" s="4"/>
      <c r="P30" s="27"/>
      <c r="Q30" s="27"/>
      <c r="R30" s="4"/>
      <c r="S30" s="4"/>
      <c r="T30" s="25"/>
      <c r="U30" s="22"/>
    </row>
    <row r="31" customFormat="false" ht="15" hidden="false" customHeight="false" outlineLevel="0" collapsed="false">
      <c r="A31" s="18" t="str">
        <f aca="false">B31&amp;"-R"&amp;E31</f>
        <v>6-R2</v>
      </c>
      <c r="B31" s="18" t="n">
        <v>6</v>
      </c>
      <c r="C31" s="18" t="str">
        <f aca="false">IFERROR(INDEX(Contacts!$B$5:$B$30,MATCH(B31,Contacts!$A$5:$A$30,0)),"")</f>
        <v>Kelum Senanayake</v>
      </c>
      <c r="D31" s="18" t="str">
        <f aca="false">IFERROR(INDEX(Contacts!$C$5:$C$30,MATCH(B31,Contacts!$A$5:$A$30,0)),"")</f>
        <v>Chemistry</v>
      </c>
      <c r="E31" s="18" t="n">
        <v>2</v>
      </c>
      <c r="F31" s="25"/>
      <c r="G31" s="26"/>
      <c r="H31" s="19"/>
      <c r="I31" s="4"/>
      <c r="J31" s="4"/>
      <c r="K31" s="4"/>
      <c r="L31" s="4"/>
      <c r="M31" s="4"/>
      <c r="N31" s="4"/>
      <c r="O31" s="4"/>
      <c r="P31" s="27"/>
      <c r="Q31" s="27"/>
      <c r="R31" s="4"/>
      <c r="S31" s="4"/>
      <c r="T31" s="25"/>
      <c r="U31" s="22"/>
    </row>
    <row r="32" customFormat="false" ht="15" hidden="false" customHeight="false" outlineLevel="0" collapsed="false">
      <c r="A32" s="18" t="str">
        <f aca="false">B32&amp;"-R"&amp;E32</f>
        <v>6-R3</v>
      </c>
      <c r="B32" s="18" t="n">
        <v>6</v>
      </c>
      <c r="C32" s="18" t="str">
        <f aca="false">IFERROR(INDEX(Contacts!$B$5:$B$30,MATCH(B32,Contacts!$A$5:$A$30,0)),"")</f>
        <v>Kelum Senanayake</v>
      </c>
      <c r="D32" s="18" t="str">
        <f aca="false">IFERROR(INDEX(Contacts!$C$5:$C$30,MATCH(B32,Contacts!$A$5:$A$30,0)),"")</f>
        <v>Chemistry</v>
      </c>
      <c r="E32" s="18" t="n">
        <v>3</v>
      </c>
      <c r="F32" s="25"/>
      <c r="G32" s="26"/>
      <c r="H32" s="19"/>
      <c r="I32" s="4"/>
      <c r="J32" s="4"/>
      <c r="K32" s="4"/>
      <c r="L32" s="4"/>
      <c r="M32" s="4"/>
      <c r="N32" s="4"/>
      <c r="O32" s="4"/>
      <c r="P32" s="27"/>
      <c r="Q32" s="27"/>
      <c r="R32" s="4"/>
      <c r="S32" s="4"/>
      <c r="T32" s="25"/>
      <c r="U32" s="22"/>
    </row>
    <row r="33" customFormat="false" ht="15" hidden="false" customHeight="false" outlineLevel="0" collapsed="false">
      <c r="A33" s="18" t="str">
        <f aca="false">B33&amp;"-R"&amp;E33</f>
        <v>6-R4</v>
      </c>
      <c r="B33" s="18" t="n">
        <v>6</v>
      </c>
      <c r="C33" s="18" t="str">
        <f aca="false">IFERROR(INDEX(Contacts!$B$5:$B$30,MATCH(B33,Contacts!$A$5:$A$30,0)),"")</f>
        <v>Kelum Senanayake</v>
      </c>
      <c r="D33" s="18" t="str">
        <f aca="false">IFERROR(INDEX(Contacts!$C$5:$C$30,MATCH(B33,Contacts!$A$5:$A$30,0)),"")</f>
        <v>Chemistry</v>
      </c>
      <c r="E33" s="18" t="n">
        <v>4</v>
      </c>
      <c r="F33" s="25"/>
      <c r="G33" s="26"/>
      <c r="H33" s="19"/>
      <c r="I33" s="4"/>
      <c r="J33" s="4"/>
      <c r="K33" s="4"/>
      <c r="L33" s="4"/>
      <c r="M33" s="4"/>
      <c r="N33" s="4"/>
      <c r="O33" s="4"/>
      <c r="P33" s="27"/>
      <c r="Q33" s="27"/>
      <c r="R33" s="4"/>
      <c r="S33" s="4"/>
      <c r="T33" s="25"/>
      <c r="U33" s="22"/>
    </row>
    <row r="34" customFormat="false" ht="15" hidden="false" customHeight="false" outlineLevel="0" collapsed="false">
      <c r="A34" s="28" t="str">
        <f aca="false">B34&amp;"-R"&amp;E34</f>
        <v>6-R5</v>
      </c>
      <c r="B34" s="28" t="n">
        <v>6</v>
      </c>
      <c r="C34" s="28" t="str">
        <f aca="false">IFERROR(INDEX(Contacts!$B$5:$B$30,MATCH(B34,Contacts!$A$5:$A$30,0)),"")</f>
        <v>Kelum Senanayake</v>
      </c>
      <c r="D34" s="28" t="str">
        <f aca="false">IFERROR(INDEX(Contacts!$C$5:$C$30,MATCH(B34,Contacts!$A$5:$A$30,0)),"")</f>
        <v>Chemistry</v>
      </c>
      <c r="E34" s="28" t="n">
        <v>5</v>
      </c>
      <c r="F34" s="29"/>
      <c r="G34" s="30"/>
      <c r="H34" s="31"/>
      <c r="I34" s="32"/>
      <c r="J34" s="32"/>
      <c r="K34" s="32"/>
      <c r="L34" s="32"/>
      <c r="M34" s="32"/>
      <c r="N34" s="32"/>
      <c r="O34" s="32"/>
      <c r="P34" s="33"/>
      <c r="Q34" s="33"/>
      <c r="R34" s="32"/>
      <c r="S34" s="32"/>
      <c r="T34" s="29"/>
      <c r="U34" s="34"/>
    </row>
    <row r="35" customFormat="false" ht="15" hidden="false" customHeight="false" outlineLevel="0" collapsed="false">
      <c r="A35" s="18" t="str">
        <f aca="false">B35&amp;"-R"&amp;E35</f>
        <v>7-R1</v>
      </c>
      <c r="B35" s="18" t="n">
        <v>7</v>
      </c>
      <c r="C35" s="18" t="str">
        <f aca="false">IFERROR(INDEX(Contacts!$B$5:$B$30,MATCH(B35,Contacts!$A$5:$A$30,0)),"")</f>
        <v>Ujith Hemachandra</v>
      </c>
      <c r="D35" s="18" t="str">
        <f aca="false">IFERROR(INDEX(Contacts!$C$5:$C$30,MATCH(B35,Contacts!$A$5:$A$30,0)),"")</f>
        <v>Chemistry</v>
      </c>
      <c r="E35" s="18" t="n">
        <v>1</v>
      </c>
      <c r="F35" s="25"/>
      <c r="G35" s="26"/>
      <c r="H35" s="19"/>
      <c r="I35" s="4"/>
      <c r="J35" s="4"/>
      <c r="K35" s="4"/>
      <c r="L35" s="4"/>
      <c r="M35" s="4"/>
      <c r="N35" s="4"/>
      <c r="O35" s="4"/>
      <c r="P35" s="27"/>
      <c r="Q35" s="27"/>
      <c r="R35" s="4"/>
      <c r="S35" s="4"/>
      <c r="T35" s="25"/>
      <c r="U35" s="22"/>
    </row>
    <row r="36" customFormat="false" ht="15" hidden="false" customHeight="false" outlineLevel="0" collapsed="false">
      <c r="A36" s="18" t="str">
        <f aca="false">B36&amp;"-R"&amp;E36</f>
        <v>7-R2</v>
      </c>
      <c r="B36" s="18" t="n">
        <v>7</v>
      </c>
      <c r="C36" s="18" t="str">
        <f aca="false">IFERROR(INDEX(Contacts!$B$5:$B$30,MATCH(B36,Contacts!$A$5:$A$30,0)),"")</f>
        <v>Ujith Hemachandra</v>
      </c>
      <c r="D36" s="18" t="str">
        <f aca="false">IFERROR(INDEX(Contacts!$C$5:$C$30,MATCH(B36,Contacts!$A$5:$A$30,0)),"")</f>
        <v>Chemistry</v>
      </c>
      <c r="E36" s="18" t="n">
        <v>2</v>
      </c>
      <c r="F36" s="25"/>
      <c r="G36" s="26"/>
      <c r="H36" s="19"/>
      <c r="I36" s="4"/>
      <c r="J36" s="4"/>
      <c r="K36" s="4"/>
      <c r="L36" s="4"/>
      <c r="M36" s="4"/>
      <c r="N36" s="4"/>
      <c r="O36" s="4"/>
      <c r="P36" s="27"/>
      <c r="Q36" s="27"/>
      <c r="R36" s="4"/>
      <c r="S36" s="4"/>
      <c r="T36" s="25"/>
      <c r="U36" s="22"/>
    </row>
    <row r="37" customFormat="false" ht="15" hidden="false" customHeight="false" outlineLevel="0" collapsed="false">
      <c r="A37" s="18" t="str">
        <f aca="false">B37&amp;"-R"&amp;E37</f>
        <v>7-R3</v>
      </c>
      <c r="B37" s="18" t="n">
        <v>7</v>
      </c>
      <c r="C37" s="18" t="str">
        <f aca="false">IFERROR(INDEX(Contacts!$B$5:$B$30,MATCH(B37,Contacts!$A$5:$A$30,0)),"")</f>
        <v>Ujith Hemachandra</v>
      </c>
      <c r="D37" s="18" t="str">
        <f aca="false">IFERROR(INDEX(Contacts!$C$5:$C$30,MATCH(B37,Contacts!$A$5:$A$30,0)),"")</f>
        <v>Chemistry</v>
      </c>
      <c r="E37" s="18" t="n">
        <v>3</v>
      </c>
      <c r="F37" s="25"/>
      <c r="G37" s="26"/>
      <c r="H37" s="19"/>
      <c r="I37" s="4"/>
      <c r="J37" s="4"/>
      <c r="K37" s="4"/>
      <c r="L37" s="4"/>
      <c r="M37" s="4"/>
      <c r="N37" s="4"/>
      <c r="O37" s="4"/>
      <c r="P37" s="27"/>
      <c r="Q37" s="27"/>
      <c r="R37" s="4"/>
      <c r="S37" s="4"/>
      <c r="T37" s="25"/>
      <c r="U37" s="22"/>
    </row>
    <row r="38" customFormat="false" ht="15" hidden="false" customHeight="false" outlineLevel="0" collapsed="false">
      <c r="A38" s="18" t="str">
        <f aca="false">B38&amp;"-R"&amp;E38</f>
        <v>7-R4</v>
      </c>
      <c r="B38" s="18" t="n">
        <v>7</v>
      </c>
      <c r="C38" s="18" t="str">
        <f aca="false">IFERROR(INDEX(Contacts!$B$5:$B$30,MATCH(B38,Contacts!$A$5:$A$30,0)),"")</f>
        <v>Ujith Hemachandra</v>
      </c>
      <c r="D38" s="18" t="str">
        <f aca="false">IFERROR(INDEX(Contacts!$C$5:$C$30,MATCH(B38,Contacts!$A$5:$A$30,0)),"")</f>
        <v>Chemistry</v>
      </c>
      <c r="E38" s="18" t="n">
        <v>4</v>
      </c>
      <c r="F38" s="25"/>
      <c r="G38" s="26"/>
      <c r="H38" s="19"/>
      <c r="I38" s="4"/>
      <c r="J38" s="4"/>
      <c r="K38" s="4"/>
      <c r="L38" s="4"/>
      <c r="M38" s="4"/>
      <c r="N38" s="4"/>
      <c r="O38" s="4"/>
      <c r="P38" s="27"/>
      <c r="Q38" s="27"/>
      <c r="R38" s="4"/>
      <c r="S38" s="4"/>
      <c r="T38" s="25"/>
      <c r="U38" s="22"/>
    </row>
    <row r="39" customFormat="false" ht="15" hidden="false" customHeight="false" outlineLevel="0" collapsed="false">
      <c r="A39" s="28" t="str">
        <f aca="false">B39&amp;"-R"&amp;E39</f>
        <v>7-R5</v>
      </c>
      <c r="B39" s="28" t="n">
        <v>7</v>
      </c>
      <c r="C39" s="28" t="str">
        <f aca="false">IFERROR(INDEX(Contacts!$B$5:$B$30,MATCH(B39,Contacts!$A$5:$A$30,0)),"")</f>
        <v>Ujith Hemachandra</v>
      </c>
      <c r="D39" s="28" t="str">
        <f aca="false">IFERROR(INDEX(Contacts!$C$5:$C$30,MATCH(B39,Contacts!$A$5:$A$30,0)),"")</f>
        <v>Chemistry</v>
      </c>
      <c r="E39" s="28" t="n">
        <v>5</v>
      </c>
      <c r="F39" s="29"/>
      <c r="G39" s="30"/>
      <c r="H39" s="31"/>
      <c r="I39" s="32"/>
      <c r="J39" s="32"/>
      <c r="K39" s="32"/>
      <c r="L39" s="32"/>
      <c r="M39" s="32"/>
      <c r="N39" s="32"/>
      <c r="O39" s="32"/>
      <c r="P39" s="33"/>
      <c r="Q39" s="33"/>
      <c r="R39" s="32"/>
      <c r="S39" s="32"/>
      <c r="T39" s="29"/>
      <c r="U39" s="34"/>
    </row>
    <row r="40" customFormat="false" ht="15" hidden="false" customHeight="false" outlineLevel="0" collapsed="false">
      <c r="A40" s="18" t="str">
        <f aca="false">B40&amp;"-R"&amp;E40</f>
        <v>8-R1</v>
      </c>
      <c r="B40" s="18" t="n">
        <v>8</v>
      </c>
      <c r="C40" s="18" t="str">
        <f aca="false">IFERROR(INDEX(Contacts!$B$5:$B$30,MATCH(B40,Contacts!$A$5:$A$30,0)),"")</f>
        <v>Tissa Jananayaka</v>
      </c>
      <c r="D40" s="18" t="str">
        <f aca="false">IFERROR(INDEX(Contacts!$C$5:$C$30,MATCH(B40,Contacts!$A$5:$A$30,0)),"")</f>
        <v>Bio</v>
      </c>
      <c r="E40" s="18" t="n">
        <v>1</v>
      </c>
      <c r="F40" s="25"/>
      <c r="G40" s="26"/>
      <c r="H40" s="19"/>
      <c r="I40" s="4"/>
      <c r="J40" s="4"/>
      <c r="K40" s="4"/>
      <c r="L40" s="4"/>
      <c r="M40" s="4"/>
      <c r="N40" s="4"/>
      <c r="O40" s="4"/>
      <c r="P40" s="27"/>
      <c r="Q40" s="27"/>
      <c r="R40" s="4"/>
      <c r="S40" s="4"/>
      <c r="T40" s="25"/>
      <c r="U40" s="22"/>
    </row>
    <row r="41" customFormat="false" ht="15" hidden="false" customHeight="false" outlineLevel="0" collapsed="false">
      <c r="A41" s="18" t="str">
        <f aca="false">B41&amp;"-R"&amp;E41</f>
        <v>8-R2</v>
      </c>
      <c r="B41" s="18" t="n">
        <v>8</v>
      </c>
      <c r="C41" s="18" t="str">
        <f aca="false">IFERROR(INDEX(Contacts!$B$5:$B$30,MATCH(B41,Contacts!$A$5:$A$30,0)),"")</f>
        <v>Tissa Jananayaka</v>
      </c>
      <c r="D41" s="18" t="str">
        <f aca="false">IFERROR(INDEX(Contacts!$C$5:$C$30,MATCH(B41,Contacts!$A$5:$A$30,0)),"")</f>
        <v>Bio</v>
      </c>
      <c r="E41" s="18" t="n">
        <v>2</v>
      </c>
      <c r="F41" s="25"/>
      <c r="G41" s="26"/>
      <c r="H41" s="19"/>
      <c r="I41" s="4"/>
      <c r="J41" s="4"/>
      <c r="K41" s="4"/>
      <c r="L41" s="4"/>
      <c r="M41" s="4"/>
      <c r="N41" s="4"/>
      <c r="O41" s="4"/>
      <c r="P41" s="27"/>
      <c r="Q41" s="27"/>
      <c r="R41" s="4"/>
      <c r="S41" s="4"/>
      <c r="T41" s="25"/>
      <c r="U41" s="22"/>
    </row>
    <row r="42" customFormat="false" ht="15" hidden="false" customHeight="false" outlineLevel="0" collapsed="false">
      <c r="A42" s="18" t="str">
        <f aca="false">B42&amp;"-R"&amp;E42</f>
        <v>8-R3</v>
      </c>
      <c r="B42" s="18" t="n">
        <v>8</v>
      </c>
      <c r="C42" s="18" t="str">
        <f aca="false">IFERROR(INDEX(Contacts!$B$5:$B$30,MATCH(B42,Contacts!$A$5:$A$30,0)),"")</f>
        <v>Tissa Jananayaka</v>
      </c>
      <c r="D42" s="18" t="str">
        <f aca="false">IFERROR(INDEX(Contacts!$C$5:$C$30,MATCH(B42,Contacts!$A$5:$A$30,0)),"")</f>
        <v>Bio</v>
      </c>
      <c r="E42" s="18" t="n">
        <v>3</v>
      </c>
      <c r="F42" s="25"/>
      <c r="G42" s="26"/>
      <c r="H42" s="19"/>
      <c r="I42" s="4"/>
      <c r="J42" s="4"/>
      <c r="K42" s="4"/>
      <c r="L42" s="4"/>
      <c r="M42" s="4"/>
      <c r="N42" s="4"/>
      <c r="O42" s="4"/>
      <c r="P42" s="27"/>
      <c r="Q42" s="27"/>
      <c r="R42" s="4"/>
      <c r="S42" s="4"/>
      <c r="T42" s="25"/>
      <c r="U42" s="22"/>
    </row>
    <row r="43" customFormat="false" ht="15" hidden="false" customHeight="false" outlineLevel="0" collapsed="false">
      <c r="A43" s="18" t="str">
        <f aca="false">B43&amp;"-R"&amp;E43</f>
        <v>8-R4</v>
      </c>
      <c r="B43" s="18" t="n">
        <v>8</v>
      </c>
      <c r="C43" s="18" t="str">
        <f aca="false">IFERROR(INDEX(Contacts!$B$5:$B$30,MATCH(B43,Contacts!$A$5:$A$30,0)),"")</f>
        <v>Tissa Jananayaka</v>
      </c>
      <c r="D43" s="18" t="str">
        <f aca="false">IFERROR(INDEX(Contacts!$C$5:$C$30,MATCH(B43,Contacts!$A$5:$A$30,0)),"")</f>
        <v>Bio</v>
      </c>
      <c r="E43" s="18" t="n">
        <v>4</v>
      </c>
      <c r="F43" s="25"/>
      <c r="G43" s="26"/>
      <c r="H43" s="19"/>
      <c r="I43" s="4"/>
      <c r="J43" s="4"/>
      <c r="K43" s="4"/>
      <c r="L43" s="4"/>
      <c r="M43" s="4"/>
      <c r="N43" s="4"/>
      <c r="O43" s="4"/>
      <c r="P43" s="27"/>
      <c r="Q43" s="27"/>
      <c r="R43" s="4"/>
      <c r="S43" s="4"/>
      <c r="T43" s="25"/>
      <c r="U43" s="22"/>
    </row>
    <row r="44" customFormat="false" ht="15" hidden="false" customHeight="false" outlineLevel="0" collapsed="false">
      <c r="A44" s="28" t="str">
        <f aca="false">B44&amp;"-R"&amp;E44</f>
        <v>8-R5</v>
      </c>
      <c r="B44" s="28" t="n">
        <v>8</v>
      </c>
      <c r="C44" s="28" t="str">
        <f aca="false">IFERROR(INDEX(Contacts!$B$5:$B$30,MATCH(B44,Contacts!$A$5:$A$30,0)),"")</f>
        <v>Tissa Jananayaka</v>
      </c>
      <c r="D44" s="28" t="str">
        <f aca="false">IFERROR(INDEX(Contacts!$C$5:$C$30,MATCH(B44,Contacts!$A$5:$A$30,0)),"")</f>
        <v>Bio</v>
      </c>
      <c r="E44" s="28" t="n">
        <v>5</v>
      </c>
      <c r="F44" s="29"/>
      <c r="G44" s="30"/>
      <c r="H44" s="31"/>
      <c r="I44" s="32"/>
      <c r="J44" s="32"/>
      <c r="K44" s="32"/>
      <c r="L44" s="32"/>
      <c r="M44" s="32"/>
      <c r="N44" s="32"/>
      <c r="O44" s="32"/>
      <c r="P44" s="33"/>
      <c r="Q44" s="33"/>
      <c r="R44" s="32"/>
      <c r="S44" s="32"/>
      <c r="T44" s="29"/>
      <c r="U44" s="34"/>
    </row>
    <row r="45" customFormat="false" ht="15" hidden="false" customHeight="false" outlineLevel="0" collapsed="false">
      <c r="A45" s="18" t="str">
        <f aca="false">B45&amp;"-R"&amp;E45</f>
        <v>9-R1</v>
      </c>
      <c r="B45" s="18" t="n">
        <v>9</v>
      </c>
      <c r="C45" s="18" t="str">
        <f aca="false">IFERROR(INDEX(Contacts!$B$5:$B$30,MATCH(B45,Contacts!$A$5:$A$30,0)),"")</f>
        <v>Dinesh Muthugala</v>
      </c>
      <c r="D45" s="18" t="str">
        <f aca="false">IFERROR(INDEX(Contacts!$C$5:$C$30,MATCH(B45,Contacts!$A$5:$A$30,0)),"")</f>
        <v>Bio</v>
      </c>
      <c r="E45" s="18" t="n">
        <v>1</v>
      </c>
      <c r="F45" s="25"/>
      <c r="G45" s="26"/>
      <c r="H45" s="19"/>
      <c r="I45" s="4"/>
      <c r="J45" s="4"/>
      <c r="K45" s="4"/>
      <c r="L45" s="4"/>
      <c r="M45" s="4"/>
      <c r="N45" s="4"/>
      <c r="O45" s="4"/>
      <c r="P45" s="27"/>
      <c r="Q45" s="27"/>
      <c r="R45" s="4"/>
      <c r="S45" s="4"/>
      <c r="T45" s="25"/>
      <c r="U45" s="22"/>
    </row>
    <row r="46" customFormat="false" ht="15" hidden="false" customHeight="false" outlineLevel="0" collapsed="false">
      <c r="A46" s="18" t="str">
        <f aca="false">B46&amp;"-R"&amp;E46</f>
        <v>9-R2</v>
      </c>
      <c r="B46" s="18" t="n">
        <v>9</v>
      </c>
      <c r="C46" s="18" t="str">
        <f aca="false">IFERROR(INDEX(Contacts!$B$5:$B$30,MATCH(B46,Contacts!$A$5:$A$30,0)),"")</f>
        <v>Dinesh Muthugala</v>
      </c>
      <c r="D46" s="18" t="str">
        <f aca="false">IFERROR(INDEX(Contacts!$C$5:$C$30,MATCH(B46,Contacts!$A$5:$A$30,0)),"")</f>
        <v>Bio</v>
      </c>
      <c r="E46" s="18" t="n">
        <v>2</v>
      </c>
      <c r="F46" s="25"/>
      <c r="G46" s="26"/>
      <c r="H46" s="19"/>
      <c r="I46" s="4"/>
      <c r="J46" s="4"/>
      <c r="K46" s="4"/>
      <c r="L46" s="4"/>
      <c r="M46" s="4"/>
      <c r="N46" s="4"/>
      <c r="O46" s="4"/>
      <c r="P46" s="27"/>
      <c r="Q46" s="27"/>
      <c r="R46" s="4"/>
      <c r="S46" s="4"/>
      <c r="T46" s="25"/>
      <c r="U46" s="22"/>
    </row>
    <row r="47" customFormat="false" ht="15" hidden="false" customHeight="false" outlineLevel="0" collapsed="false">
      <c r="A47" s="18" t="str">
        <f aca="false">B47&amp;"-R"&amp;E47</f>
        <v>9-R3</v>
      </c>
      <c r="B47" s="18" t="n">
        <v>9</v>
      </c>
      <c r="C47" s="18" t="str">
        <f aca="false">IFERROR(INDEX(Contacts!$B$5:$B$30,MATCH(B47,Contacts!$A$5:$A$30,0)),"")</f>
        <v>Dinesh Muthugala</v>
      </c>
      <c r="D47" s="18" t="str">
        <f aca="false">IFERROR(INDEX(Contacts!$C$5:$C$30,MATCH(B47,Contacts!$A$5:$A$30,0)),"")</f>
        <v>Bio</v>
      </c>
      <c r="E47" s="18" t="n">
        <v>3</v>
      </c>
      <c r="F47" s="25"/>
      <c r="G47" s="26"/>
      <c r="H47" s="19"/>
      <c r="I47" s="4"/>
      <c r="J47" s="4"/>
      <c r="K47" s="4"/>
      <c r="L47" s="4"/>
      <c r="M47" s="4"/>
      <c r="N47" s="4"/>
      <c r="O47" s="4"/>
      <c r="P47" s="27"/>
      <c r="Q47" s="27"/>
      <c r="R47" s="4"/>
      <c r="S47" s="4"/>
      <c r="T47" s="25"/>
      <c r="U47" s="22"/>
    </row>
    <row r="48" customFormat="false" ht="15" hidden="false" customHeight="false" outlineLevel="0" collapsed="false">
      <c r="A48" s="18" t="str">
        <f aca="false">B48&amp;"-R"&amp;E48</f>
        <v>9-R4</v>
      </c>
      <c r="B48" s="18" t="n">
        <v>9</v>
      </c>
      <c r="C48" s="18" t="str">
        <f aca="false">IFERROR(INDEX(Contacts!$B$5:$B$30,MATCH(B48,Contacts!$A$5:$A$30,0)),"")</f>
        <v>Dinesh Muthugala</v>
      </c>
      <c r="D48" s="18" t="str">
        <f aca="false">IFERROR(INDEX(Contacts!$C$5:$C$30,MATCH(B48,Contacts!$A$5:$A$30,0)),"")</f>
        <v>Bio</v>
      </c>
      <c r="E48" s="18" t="n">
        <v>4</v>
      </c>
      <c r="F48" s="25"/>
      <c r="G48" s="26"/>
      <c r="H48" s="19"/>
      <c r="I48" s="4"/>
      <c r="J48" s="4"/>
      <c r="K48" s="4"/>
      <c r="L48" s="4"/>
      <c r="M48" s="4"/>
      <c r="N48" s="4"/>
      <c r="O48" s="4"/>
      <c r="P48" s="27"/>
      <c r="Q48" s="27"/>
      <c r="R48" s="4"/>
      <c r="S48" s="4"/>
      <c r="T48" s="25"/>
      <c r="U48" s="22"/>
    </row>
    <row r="49" customFormat="false" ht="15" hidden="false" customHeight="false" outlineLevel="0" collapsed="false">
      <c r="A49" s="28" t="str">
        <f aca="false">B49&amp;"-R"&amp;E49</f>
        <v>9-R5</v>
      </c>
      <c r="B49" s="28" t="n">
        <v>9</v>
      </c>
      <c r="C49" s="28" t="str">
        <f aca="false">IFERROR(INDEX(Contacts!$B$5:$B$30,MATCH(B49,Contacts!$A$5:$A$30,0)),"")</f>
        <v>Dinesh Muthugala</v>
      </c>
      <c r="D49" s="28" t="str">
        <f aca="false">IFERROR(INDEX(Contacts!$C$5:$C$30,MATCH(B49,Contacts!$A$5:$A$30,0)),"")</f>
        <v>Bio</v>
      </c>
      <c r="E49" s="28" t="n">
        <v>5</v>
      </c>
      <c r="F49" s="29"/>
      <c r="G49" s="30"/>
      <c r="H49" s="31"/>
      <c r="I49" s="32"/>
      <c r="J49" s="32"/>
      <c r="K49" s="32"/>
      <c r="L49" s="32"/>
      <c r="M49" s="32"/>
      <c r="N49" s="32"/>
      <c r="O49" s="32"/>
      <c r="P49" s="33"/>
      <c r="Q49" s="33"/>
      <c r="R49" s="32"/>
      <c r="S49" s="32"/>
      <c r="T49" s="29"/>
      <c r="U49" s="34"/>
    </row>
    <row r="50" customFormat="false" ht="15" hidden="false" customHeight="false" outlineLevel="0" collapsed="false">
      <c r="A50" s="18" t="str">
        <f aca="false">B50&amp;"-R"&amp;E50</f>
        <v>10-R1</v>
      </c>
      <c r="B50" s="18" t="n">
        <v>10</v>
      </c>
      <c r="C50" s="18" t="str">
        <f aca="false">IFERROR(INDEX(Contacts!$B$5:$B$30,MATCH(B50,Contacts!$A$5:$A$30,0)),"")</f>
        <v>Dananjaya Ariyadasa</v>
      </c>
      <c r="D50" s="18" t="str">
        <f aca="false">IFERROR(INDEX(Contacts!$C$5:$C$30,MATCH(B50,Contacts!$A$5:$A$30,0)),"")</f>
        <v>Bio</v>
      </c>
      <c r="E50" s="18" t="n">
        <v>1</v>
      </c>
      <c r="F50" s="25"/>
      <c r="G50" s="26"/>
      <c r="H50" s="19"/>
      <c r="I50" s="4"/>
      <c r="J50" s="4"/>
      <c r="K50" s="4"/>
      <c r="L50" s="4"/>
      <c r="M50" s="4"/>
      <c r="N50" s="4"/>
      <c r="O50" s="4"/>
      <c r="P50" s="27"/>
      <c r="Q50" s="27"/>
      <c r="R50" s="4"/>
      <c r="S50" s="4"/>
      <c r="T50" s="25"/>
      <c r="U50" s="22"/>
    </row>
    <row r="51" customFormat="false" ht="15" hidden="false" customHeight="false" outlineLevel="0" collapsed="false">
      <c r="A51" s="18" t="str">
        <f aca="false">B51&amp;"-R"&amp;E51</f>
        <v>10-R2</v>
      </c>
      <c r="B51" s="18" t="n">
        <v>10</v>
      </c>
      <c r="C51" s="18" t="str">
        <f aca="false">IFERROR(INDEX(Contacts!$B$5:$B$30,MATCH(B51,Contacts!$A$5:$A$30,0)),"")</f>
        <v>Dananjaya Ariyadasa</v>
      </c>
      <c r="D51" s="18" t="str">
        <f aca="false">IFERROR(INDEX(Contacts!$C$5:$C$30,MATCH(B51,Contacts!$A$5:$A$30,0)),"")</f>
        <v>Bio</v>
      </c>
      <c r="E51" s="18" t="n">
        <v>2</v>
      </c>
      <c r="F51" s="25"/>
      <c r="G51" s="26"/>
      <c r="H51" s="19"/>
      <c r="I51" s="4"/>
      <c r="J51" s="4"/>
      <c r="K51" s="4"/>
      <c r="L51" s="4"/>
      <c r="M51" s="4"/>
      <c r="N51" s="4"/>
      <c r="O51" s="4"/>
      <c r="P51" s="27"/>
      <c r="Q51" s="27"/>
      <c r="R51" s="4"/>
      <c r="S51" s="4"/>
      <c r="T51" s="25"/>
      <c r="U51" s="22"/>
    </row>
    <row r="52" customFormat="false" ht="15" hidden="false" customHeight="false" outlineLevel="0" collapsed="false">
      <c r="A52" s="18" t="str">
        <f aca="false">B52&amp;"-R"&amp;E52</f>
        <v>10-R3</v>
      </c>
      <c r="B52" s="18" t="n">
        <v>10</v>
      </c>
      <c r="C52" s="18" t="str">
        <f aca="false">IFERROR(INDEX(Contacts!$B$5:$B$30,MATCH(B52,Contacts!$A$5:$A$30,0)),"")</f>
        <v>Dananjaya Ariyadasa</v>
      </c>
      <c r="D52" s="18" t="str">
        <f aca="false">IFERROR(INDEX(Contacts!$C$5:$C$30,MATCH(B52,Contacts!$A$5:$A$30,0)),"")</f>
        <v>Bio</v>
      </c>
      <c r="E52" s="18" t="n">
        <v>3</v>
      </c>
      <c r="F52" s="25"/>
      <c r="G52" s="26"/>
      <c r="H52" s="19"/>
      <c r="I52" s="4"/>
      <c r="J52" s="4"/>
      <c r="K52" s="4"/>
      <c r="L52" s="4"/>
      <c r="M52" s="4"/>
      <c r="N52" s="4"/>
      <c r="O52" s="4"/>
      <c r="P52" s="27"/>
      <c r="Q52" s="27"/>
      <c r="R52" s="4"/>
      <c r="S52" s="4"/>
      <c r="T52" s="25"/>
      <c r="U52" s="22"/>
    </row>
    <row r="53" customFormat="false" ht="15" hidden="false" customHeight="false" outlineLevel="0" collapsed="false">
      <c r="A53" s="18" t="str">
        <f aca="false">B53&amp;"-R"&amp;E53</f>
        <v>10-R4</v>
      </c>
      <c r="B53" s="18" t="n">
        <v>10</v>
      </c>
      <c r="C53" s="18" t="str">
        <f aca="false">IFERROR(INDEX(Contacts!$B$5:$B$30,MATCH(B53,Contacts!$A$5:$A$30,0)),"")</f>
        <v>Dananjaya Ariyadasa</v>
      </c>
      <c r="D53" s="18" t="str">
        <f aca="false">IFERROR(INDEX(Contacts!$C$5:$C$30,MATCH(B53,Contacts!$A$5:$A$30,0)),"")</f>
        <v>Bio</v>
      </c>
      <c r="E53" s="18" t="n">
        <v>4</v>
      </c>
      <c r="F53" s="25"/>
      <c r="G53" s="26"/>
      <c r="H53" s="19"/>
      <c r="I53" s="4"/>
      <c r="J53" s="4"/>
      <c r="K53" s="4"/>
      <c r="L53" s="4"/>
      <c r="M53" s="4"/>
      <c r="N53" s="4"/>
      <c r="O53" s="4"/>
      <c r="P53" s="27"/>
      <c r="Q53" s="27"/>
      <c r="R53" s="4"/>
      <c r="S53" s="4"/>
      <c r="T53" s="25"/>
      <c r="U53" s="22"/>
    </row>
    <row r="54" customFormat="false" ht="15" hidden="false" customHeight="false" outlineLevel="0" collapsed="false">
      <c r="A54" s="28" t="str">
        <f aca="false">B54&amp;"-R"&amp;E54</f>
        <v>10-R5</v>
      </c>
      <c r="B54" s="28" t="n">
        <v>10</v>
      </c>
      <c r="C54" s="28" t="str">
        <f aca="false">IFERROR(INDEX(Contacts!$B$5:$B$30,MATCH(B54,Contacts!$A$5:$A$30,0)),"")</f>
        <v>Dananjaya Ariyadasa</v>
      </c>
      <c r="D54" s="28" t="str">
        <f aca="false">IFERROR(INDEX(Contacts!$C$5:$C$30,MATCH(B54,Contacts!$A$5:$A$30,0)),"")</f>
        <v>Bio</v>
      </c>
      <c r="E54" s="28" t="n">
        <v>5</v>
      </c>
      <c r="F54" s="29"/>
      <c r="G54" s="30"/>
      <c r="H54" s="31"/>
      <c r="I54" s="32"/>
      <c r="J54" s="32"/>
      <c r="K54" s="32"/>
      <c r="L54" s="32"/>
      <c r="M54" s="32"/>
      <c r="N54" s="32"/>
      <c r="O54" s="32"/>
      <c r="P54" s="33"/>
      <c r="Q54" s="33"/>
      <c r="R54" s="32"/>
      <c r="S54" s="32"/>
      <c r="T54" s="29"/>
      <c r="U54" s="34"/>
    </row>
    <row r="55" customFormat="false" ht="15" hidden="false" customHeight="false" outlineLevel="0" collapsed="false">
      <c r="A55" s="18" t="str">
        <f aca="false">B55&amp;"-R"&amp;E55</f>
        <v>11-R1</v>
      </c>
      <c r="B55" s="18" t="n">
        <v>11</v>
      </c>
      <c r="C55" s="18" t="str">
        <f aca="false">IFERROR(INDEX(Contacts!$B$5:$B$30,MATCH(B55,Contacts!$A$5:$A$30,0)),"")</f>
        <v>Sashanka Dhanujaya</v>
      </c>
      <c r="D55" s="18" t="str">
        <f aca="false">IFERROR(INDEX(Contacts!$C$5:$C$30,MATCH(B55,Contacts!$A$5:$A$30,0)),"")</f>
        <v>Bio</v>
      </c>
      <c r="E55" s="18" t="n">
        <v>1</v>
      </c>
      <c r="F55" s="25"/>
      <c r="G55" s="26"/>
      <c r="H55" s="19"/>
      <c r="I55" s="4"/>
      <c r="J55" s="4"/>
      <c r="K55" s="4"/>
      <c r="L55" s="4"/>
      <c r="M55" s="4"/>
      <c r="N55" s="4"/>
      <c r="O55" s="4"/>
      <c r="P55" s="27"/>
      <c r="Q55" s="27"/>
      <c r="R55" s="4"/>
      <c r="S55" s="4"/>
      <c r="T55" s="25"/>
      <c r="U55" s="22"/>
    </row>
    <row r="56" customFormat="false" ht="15" hidden="false" customHeight="false" outlineLevel="0" collapsed="false">
      <c r="A56" s="18" t="str">
        <f aca="false">B56&amp;"-R"&amp;E56</f>
        <v>11-R2</v>
      </c>
      <c r="B56" s="18" t="n">
        <v>11</v>
      </c>
      <c r="C56" s="18" t="str">
        <f aca="false">IFERROR(INDEX(Contacts!$B$5:$B$30,MATCH(B56,Contacts!$A$5:$A$30,0)),"")</f>
        <v>Sashanka Dhanujaya</v>
      </c>
      <c r="D56" s="18" t="str">
        <f aca="false">IFERROR(INDEX(Contacts!$C$5:$C$30,MATCH(B56,Contacts!$A$5:$A$30,0)),"")</f>
        <v>Bio</v>
      </c>
      <c r="E56" s="18" t="n">
        <v>2</v>
      </c>
      <c r="F56" s="25"/>
      <c r="G56" s="26"/>
      <c r="H56" s="19"/>
      <c r="I56" s="4"/>
      <c r="J56" s="4"/>
      <c r="K56" s="4"/>
      <c r="L56" s="4"/>
      <c r="M56" s="4"/>
      <c r="N56" s="4"/>
      <c r="O56" s="4"/>
      <c r="P56" s="27"/>
      <c r="Q56" s="27"/>
      <c r="R56" s="4"/>
      <c r="S56" s="4"/>
      <c r="T56" s="25"/>
      <c r="U56" s="22"/>
    </row>
    <row r="57" customFormat="false" ht="15" hidden="false" customHeight="false" outlineLevel="0" collapsed="false">
      <c r="A57" s="18" t="str">
        <f aca="false">B57&amp;"-R"&amp;E57</f>
        <v>11-R3</v>
      </c>
      <c r="B57" s="18" t="n">
        <v>11</v>
      </c>
      <c r="C57" s="18" t="str">
        <f aca="false">IFERROR(INDEX(Contacts!$B$5:$B$30,MATCH(B57,Contacts!$A$5:$A$30,0)),"")</f>
        <v>Sashanka Dhanujaya</v>
      </c>
      <c r="D57" s="18" t="str">
        <f aca="false">IFERROR(INDEX(Contacts!$C$5:$C$30,MATCH(B57,Contacts!$A$5:$A$30,0)),"")</f>
        <v>Bio</v>
      </c>
      <c r="E57" s="18" t="n">
        <v>3</v>
      </c>
      <c r="F57" s="25"/>
      <c r="G57" s="26"/>
      <c r="H57" s="19"/>
      <c r="I57" s="4"/>
      <c r="J57" s="4"/>
      <c r="K57" s="4"/>
      <c r="L57" s="4"/>
      <c r="M57" s="4"/>
      <c r="N57" s="4"/>
      <c r="O57" s="4"/>
      <c r="P57" s="27"/>
      <c r="Q57" s="27"/>
      <c r="R57" s="4"/>
      <c r="S57" s="4"/>
      <c r="T57" s="25"/>
      <c r="U57" s="22"/>
    </row>
    <row r="58" customFormat="false" ht="15" hidden="false" customHeight="false" outlineLevel="0" collapsed="false">
      <c r="A58" s="18" t="str">
        <f aca="false">B58&amp;"-R"&amp;E58</f>
        <v>11-R4</v>
      </c>
      <c r="B58" s="18" t="n">
        <v>11</v>
      </c>
      <c r="C58" s="18" t="str">
        <f aca="false">IFERROR(INDEX(Contacts!$B$5:$B$30,MATCH(B58,Contacts!$A$5:$A$30,0)),"")</f>
        <v>Sashanka Dhanujaya</v>
      </c>
      <c r="D58" s="18" t="str">
        <f aca="false">IFERROR(INDEX(Contacts!$C$5:$C$30,MATCH(B58,Contacts!$A$5:$A$30,0)),"")</f>
        <v>Bio</v>
      </c>
      <c r="E58" s="18" t="n">
        <v>4</v>
      </c>
      <c r="F58" s="25"/>
      <c r="G58" s="26"/>
      <c r="H58" s="19"/>
      <c r="I58" s="4"/>
      <c r="J58" s="4"/>
      <c r="K58" s="4"/>
      <c r="L58" s="4"/>
      <c r="M58" s="4"/>
      <c r="N58" s="4"/>
      <c r="O58" s="4"/>
      <c r="P58" s="27"/>
      <c r="Q58" s="27"/>
      <c r="R58" s="4"/>
      <c r="S58" s="4"/>
      <c r="T58" s="25"/>
      <c r="U58" s="22"/>
    </row>
    <row r="59" customFormat="false" ht="15" hidden="false" customHeight="false" outlineLevel="0" collapsed="false">
      <c r="A59" s="28" t="str">
        <f aca="false">B59&amp;"-R"&amp;E59</f>
        <v>11-R5</v>
      </c>
      <c r="B59" s="28" t="n">
        <v>11</v>
      </c>
      <c r="C59" s="28" t="str">
        <f aca="false">IFERROR(INDEX(Contacts!$B$5:$B$30,MATCH(B59,Contacts!$A$5:$A$30,0)),"")</f>
        <v>Sashanka Dhanujaya</v>
      </c>
      <c r="D59" s="28" t="str">
        <f aca="false">IFERROR(INDEX(Contacts!$C$5:$C$30,MATCH(B59,Contacts!$A$5:$A$30,0)),"")</f>
        <v>Bio</v>
      </c>
      <c r="E59" s="28" t="n">
        <v>5</v>
      </c>
      <c r="F59" s="29"/>
      <c r="G59" s="30"/>
      <c r="H59" s="31"/>
      <c r="I59" s="32"/>
      <c r="J59" s="32"/>
      <c r="K59" s="32"/>
      <c r="L59" s="32"/>
      <c r="M59" s="32"/>
      <c r="N59" s="32"/>
      <c r="O59" s="32"/>
      <c r="P59" s="33"/>
      <c r="Q59" s="33"/>
      <c r="R59" s="32"/>
      <c r="S59" s="32"/>
      <c r="T59" s="29"/>
      <c r="U59" s="34"/>
    </row>
    <row r="60" customFormat="false" ht="15" hidden="false" customHeight="false" outlineLevel="0" collapsed="false">
      <c r="A60" s="18" t="str">
        <f aca="false">B60&amp;"-R"&amp;E60</f>
        <v>12-R1</v>
      </c>
      <c r="B60" s="18" t="n">
        <v>12</v>
      </c>
      <c r="C60" s="18" t="str">
        <f aca="false">IFERROR(INDEX(Contacts!$B$5:$B$30,MATCH(B60,Contacts!$A$5:$A$30,0)),"")</f>
        <v>Charitha Munasinghe</v>
      </c>
      <c r="D60" s="18" t="str">
        <f aca="false">IFERROR(INDEX(Contacts!$C$5:$C$30,MATCH(B60,Contacts!$A$5:$A$30,0)),"")</f>
        <v>Bio</v>
      </c>
      <c r="E60" s="18" t="n">
        <v>1</v>
      </c>
      <c r="F60" s="25"/>
      <c r="G60" s="26"/>
      <c r="H60" s="19"/>
      <c r="I60" s="4"/>
      <c r="J60" s="4"/>
      <c r="K60" s="4"/>
      <c r="L60" s="4"/>
      <c r="M60" s="4"/>
      <c r="N60" s="4"/>
      <c r="O60" s="4"/>
      <c r="P60" s="27"/>
      <c r="Q60" s="27"/>
      <c r="R60" s="4"/>
      <c r="S60" s="4"/>
      <c r="T60" s="25"/>
      <c r="U60" s="22"/>
    </row>
    <row r="61" customFormat="false" ht="15" hidden="false" customHeight="false" outlineLevel="0" collapsed="false">
      <c r="A61" s="18" t="str">
        <f aca="false">B61&amp;"-R"&amp;E61</f>
        <v>12-R2</v>
      </c>
      <c r="B61" s="18" t="n">
        <v>12</v>
      </c>
      <c r="C61" s="18" t="str">
        <f aca="false">IFERROR(INDEX(Contacts!$B$5:$B$30,MATCH(B61,Contacts!$A$5:$A$30,0)),"")</f>
        <v>Charitha Munasinghe</v>
      </c>
      <c r="D61" s="18" t="str">
        <f aca="false">IFERROR(INDEX(Contacts!$C$5:$C$30,MATCH(B61,Contacts!$A$5:$A$30,0)),"")</f>
        <v>Bio</v>
      </c>
      <c r="E61" s="18" t="n">
        <v>2</v>
      </c>
      <c r="F61" s="25"/>
      <c r="G61" s="26"/>
      <c r="H61" s="19"/>
      <c r="I61" s="4"/>
      <c r="J61" s="4"/>
      <c r="K61" s="4"/>
      <c r="L61" s="4"/>
      <c r="M61" s="4"/>
      <c r="N61" s="4"/>
      <c r="O61" s="4"/>
      <c r="P61" s="27"/>
      <c r="Q61" s="27"/>
      <c r="R61" s="4"/>
      <c r="S61" s="4"/>
      <c r="T61" s="25"/>
      <c r="U61" s="22"/>
    </row>
    <row r="62" customFormat="false" ht="15" hidden="false" customHeight="false" outlineLevel="0" collapsed="false">
      <c r="A62" s="18" t="str">
        <f aca="false">B62&amp;"-R"&amp;E62</f>
        <v>12-R3</v>
      </c>
      <c r="B62" s="18" t="n">
        <v>12</v>
      </c>
      <c r="C62" s="18" t="str">
        <f aca="false">IFERROR(INDEX(Contacts!$B$5:$B$30,MATCH(B62,Contacts!$A$5:$A$30,0)),"")</f>
        <v>Charitha Munasinghe</v>
      </c>
      <c r="D62" s="18" t="str">
        <f aca="false">IFERROR(INDEX(Contacts!$C$5:$C$30,MATCH(B62,Contacts!$A$5:$A$30,0)),"")</f>
        <v>Bio</v>
      </c>
      <c r="E62" s="18" t="n">
        <v>3</v>
      </c>
      <c r="F62" s="25"/>
      <c r="G62" s="26"/>
      <c r="H62" s="19"/>
      <c r="I62" s="4"/>
      <c r="J62" s="4"/>
      <c r="K62" s="4"/>
      <c r="L62" s="4"/>
      <c r="M62" s="4"/>
      <c r="N62" s="4"/>
      <c r="O62" s="4"/>
      <c r="P62" s="27"/>
      <c r="Q62" s="27"/>
      <c r="R62" s="4"/>
      <c r="S62" s="4"/>
      <c r="T62" s="25"/>
      <c r="U62" s="22"/>
    </row>
    <row r="63" customFormat="false" ht="15" hidden="false" customHeight="false" outlineLevel="0" collapsed="false">
      <c r="A63" s="18" t="str">
        <f aca="false">B63&amp;"-R"&amp;E63</f>
        <v>12-R4</v>
      </c>
      <c r="B63" s="18" t="n">
        <v>12</v>
      </c>
      <c r="C63" s="18" t="str">
        <f aca="false">IFERROR(INDEX(Contacts!$B$5:$B$30,MATCH(B63,Contacts!$A$5:$A$30,0)),"")</f>
        <v>Charitha Munasinghe</v>
      </c>
      <c r="D63" s="18" t="str">
        <f aca="false">IFERROR(INDEX(Contacts!$C$5:$C$30,MATCH(B63,Contacts!$A$5:$A$30,0)),"")</f>
        <v>Bio</v>
      </c>
      <c r="E63" s="18" t="n">
        <v>4</v>
      </c>
      <c r="F63" s="25"/>
      <c r="G63" s="26"/>
      <c r="H63" s="19"/>
      <c r="I63" s="4"/>
      <c r="J63" s="4"/>
      <c r="K63" s="4"/>
      <c r="L63" s="4"/>
      <c r="M63" s="4"/>
      <c r="N63" s="4"/>
      <c r="O63" s="4"/>
      <c r="P63" s="27"/>
      <c r="Q63" s="27"/>
      <c r="R63" s="4"/>
      <c r="S63" s="4"/>
      <c r="T63" s="25"/>
      <c r="U63" s="22"/>
    </row>
    <row r="64" customFormat="false" ht="15" hidden="false" customHeight="false" outlineLevel="0" collapsed="false">
      <c r="A64" s="28" t="str">
        <f aca="false">B64&amp;"-R"&amp;E64</f>
        <v>12-R5</v>
      </c>
      <c r="B64" s="28" t="n">
        <v>12</v>
      </c>
      <c r="C64" s="28" t="str">
        <f aca="false">IFERROR(INDEX(Contacts!$B$5:$B$30,MATCH(B64,Contacts!$A$5:$A$30,0)),"")</f>
        <v>Charitha Munasinghe</v>
      </c>
      <c r="D64" s="28" t="str">
        <f aca="false">IFERROR(INDEX(Contacts!$C$5:$C$30,MATCH(B64,Contacts!$A$5:$A$30,0)),"")</f>
        <v>Bio</v>
      </c>
      <c r="E64" s="28" t="n">
        <v>5</v>
      </c>
      <c r="F64" s="29"/>
      <c r="G64" s="30"/>
      <c r="H64" s="31"/>
      <c r="I64" s="32"/>
      <c r="J64" s="32"/>
      <c r="K64" s="32"/>
      <c r="L64" s="32"/>
      <c r="M64" s="32"/>
      <c r="N64" s="32"/>
      <c r="O64" s="32"/>
      <c r="P64" s="33"/>
      <c r="Q64" s="33"/>
      <c r="R64" s="32"/>
      <c r="S64" s="32"/>
      <c r="T64" s="29"/>
      <c r="U64" s="34"/>
    </row>
    <row r="65" customFormat="false" ht="15" hidden="false" customHeight="false" outlineLevel="0" collapsed="false">
      <c r="A65" s="18" t="str">
        <f aca="false">B65&amp;"-R"&amp;E65</f>
        <v>13-R1</v>
      </c>
      <c r="B65" s="18" t="n">
        <v>13</v>
      </c>
      <c r="C65" s="18" t="str">
        <f aca="false">IFERROR(INDEX(Contacts!$B$5:$B$30,MATCH(B65,Contacts!$A$5:$A$30,0)),"")</f>
        <v>Virul Weerakoon</v>
      </c>
      <c r="D65" s="18" t="str">
        <f aca="false">IFERROR(INDEX(Contacts!$C$5:$C$30,MATCH(B65,Contacts!$A$5:$A$30,0)),"")</f>
        <v>Bio</v>
      </c>
      <c r="E65" s="18" t="n">
        <v>1</v>
      </c>
      <c r="F65" s="25"/>
      <c r="G65" s="26"/>
      <c r="H65" s="19"/>
      <c r="I65" s="4"/>
      <c r="J65" s="4"/>
      <c r="K65" s="4"/>
      <c r="L65" s="4"/>
      <c r="M65" s="4"/>
      <c r="N65" s="4"/>
      <c r="O65" s="4"/>
      <c r="P65" s="27"/>
      <c r="Q65" s="27"/>
      <c r="R65" s="4"/>
      <c r="S65" s="4"/>
      <c r="T65" s="25"/>
      <c r="U65" s="22"/>
    </row>
    <row r="66" customFormat="false" ht="15" hidden="false" customHeight="false" outlineLevel="0" collapsed="false">
      <c r="A66" s="18" t="str">
        <f aca="false">B66&amp;"-R"&amp;E66</f>
        <v>13-R2</v>
      </c>
      <c r="B66" s="18" t="n">
        <v>13</v>
      </c>
      <c r="C66" s="18" t="str">
        <f aca="false">IFERROR(INDEX(Contacts!$B$5:$B$30,MATCH(B66,Contacts!$A$5:$A$30,0)),"")</f>
        <v>Virul Weerakoon</v>
      </c>
      <c r="D66" s="18" t="str">
        <f aca="false">IFERROR(INDEX(Contacts!$C$5:$C$30,MATCH(B66,Contacts!$A$5:$A$30,0)),"")</f>
        <v>Bio</v>
      </c>
      <c r="E66" s="18" t="n">
        <v>2</v>
      </c>
      <c r="F66" s="25"/>
      <c r="G66" s="26"/>
      <c r="H66" s="19"/>
      <c r="I66" s="4"/>
      <c r="J66" s="4"/>
      <c r="K66" s="4"/>
      <c r="L66" s="4"/>
      <c r="M66" s="4"/>
      <c r="N66" s="4"/>
      <c r="O66" s="4"/>
      <c r="P66" s="27"/>
      <c r="Q66" s="27"/>
      <c r="R66" s="4"/>
      <c r="S66" s="4"/>
      <c r="T66" s="25"/>
      <c r="U66" s="22"/>
    </row>
    <row r="67" customFormat="false" ht="15" hidden="false" customHeight="false" outlineLevel="0" collapsed="false">
      <c r="A67" s="18" t="str">
        <f aca="false">B67&amp;"-R"&amp;E67</f>
        <v>13-R3</v>
      </c>
      <c r="B67" s="18" t="n">
        <v>13</v>
      </c>
      <c r="C67" s="18" t="str">
        <f aca="false">IFERROR(INDEX(Contacts!$B$5:$B$30,MATCH(B67,Contacts!$A$5:$A$30,0)),"")</f>
        <v>Virul Weerakoon</v>
      </c>
      <c r="D67" s="18" t="str">
        <f aca="false">IFERROR(INDEX(Contacts!$C$5:$C$30,MATCH(B67,Contacts!$A$5:$A$30,0)),"")</f>
        <v>Bio</v>
      </c>
      <c r="E67" s="18" t="n">
        <v>3</v>
      </c>
      <c r="F67" s="25"/>
      <c r="G67" s="26"/>
      <c r="H67" s="19"/>
      <c r="I67" s="4"/>
      <c r="J67" s="4"/>
      <c r="K67" s="4"/>
      <c r="L67" s="4"/>
      <c r="M67" s="4"/>
      <c r="N67" s="4"/>
      <c r="O67" s="4"/>
      <c r="P67" s="27"/>
      <c r="Q67" s="27"/>
      <c r="R67" s="4"/>
      <c r="S67" s="4"/>
      <c r="T67" s="25"/>
      <c r="U67" s="22"/>
    </row>
    <row r="68" customFormat="false" ht="15" hidden="false" customHeight="false" outlineLevel="0" collapsed="false">
      <c r="A68" s="18" t="str">
        <f aca="false">B68&amp;"-R"&amp;E68</f>
        <v>13-R4</v>
      </c>
      <c r="B68" s="18" t="n">
        <v>13</v>
      </c>
      <c r="C68" s="18" t="str">
        <f aca="false">IFERROR(INDEX(Contacts!$B$5:$B$30,MATCH(B68,Contacts!$A$5:$A$30,0)),"")</f>
        <v>Virul Weerakoon</v>
      </c>
      <c r="D68" s="18" t="str">
        <f aca="false">IFERROR(INDEX(Contacts!$C$5:$C$30,MATCH(B68,Contacts!$A$5:$A$30,0)),"")</f>
        <v>Bio</v>
      </c>
      <c r="E68" s="18" t="n">
        <v>4</v>
      </c>
      <c r="F68" s="25"/>
      <c r="G68" s="26"/>
      <c r="H68" s="19"/>
      <c r="I68" s="4"/>
      <c r="J68" s="4"/>
      <c r="K68" s="4"/>
      <c r="L68" s="4"/>
      <c r="M68" s="4"/>
      <c r="N68" s="4"/>
      <c r="O68" s="4"/>
      <c r="P68" s="27"/>
      <c r="Q68" s="27"/>
      <c r="R68" s="4"/>
      <c r="S68" s="4"/>
      <c r="T68" s="25"/>
      <c r="U68" s="22"/>
    </row>
    <row r="69" customFormat="false" ht="15" hidden="false" customHeight="false" outlineLevel="0" collapsed="false">
      <c r="A69" s="28" t="str">
        <f aca="false">B69&amp;"-R"&amp;E69</f>
        <v>13-R5</v>
      </c>
      <c r="B69" s="28" t="n">
        <v>13</v>
      </c>
      <c r="C69" s="28" t="str">
        <f aca="false">IFERROR(INDEX(Contacts!$B$5:$B$30,MATCH(B69,Contacts!$A$5:$A$30,0)),"")</f>
        <v>Virul Weerakoon</v>
      </c>
      <c r="D69" s="28" t="str">
        <f aca="false">IFERROR(INDEX(Contacts!$C$5:$C$30,MATCH(B69,Contacts!$A$5:$A$30,0)),"")</f>
        <v>Bio</v>
      </c>
      <c r="E69" s="28" t="n">
        <v>5</v>
      </c>
      <c r="F69" s="29"/>
      <c r="G69" s="30"/>
      <c r="H69" s="31"/>
      <c r="I69" s="32"/>
      <c r="J69" s="32"/>
      <c r="K69" s="32"/>
      <c r="L69" s="32"/>
      <c r="M69" s="32"/>
      <c r="N69" s="32"/>
      <c r="O69" s="32"/>
      <c r="P69" s="33"/>
      <c r="Q69" s="33"/>
      <c r="R69" s="32"/>
      <c r="S69" s="32"/>
      <c r="T69" s="29"/>
      <c r="U69" s="34"/>
    </row>
    <row r="70" customFormat="false" ht="15" hidden="false" customHeight="false" outlineLevel="0" collapsed="false">
      <c r="A70" s="18" t="str">
        <f aca="false">B70&amp;"-R"&amp;E70</f>
        <v>14-R1</v>
      </c>
      <c r="B70" s="18" t="n">
        <v>14</v>
      </c>
      <c r="C70" s="18" t="str">
        <f aca="false">IFERROR(INDEX(Contacts!$B$5:$B$30,MATCH(B70,Contacts!$A$5:$A$30,0)),"")</f>
        <v>Sanjeewa Rajapaksha</v>
      </c>
      <c r="D70" s="18" t="str">
        <f aca="false">IFERROR(INDEX(Contacts!$C$5:$C$30,MATCH(B70,Contacts!$A$5:$A$30,0)),"")</f>
        <v>Agri</v>
      </c>
      <c r="E70" s="18" t="n">
        <v>1</v>
      </c>
      <c r="F70" s="25"/>
      <c r="G70" s="26"/>
      <c r="H70" s="19"/>
      <c r="I70" s="4"/>
      <c r="J70" s="4"/>
      <c r="K70" s="4"/>
      <c r="L70" s="4"/>
      <c r="M70" s="4"/>
      <c r="N70" s="4"/>
      <c r="O70" s="4"/>
      <c r="P70" s="27"/>
      <c r="Q70" s="27"/>
      <c r="R70" s="4"/>
      <c r="S70" s="4"/>
      <c r="T70" s="25"/>
      <c r="U70" s="22"/>
    </row>
    <row r="71" customFormat="false" ht="15" hidden="false" customHeight="false" outlineLevel="0" collapsed="false">
      <c r="A71" s="18" t="str">
        <f aca="false">B71&amp;"-R"&amp;E71</f>
        <v>14-R2</v>
      </c>
      <c r="B71" s="18" t="n">
        <v>14</v>
      </c>
      <c r="C71" s="18" t="str">
        <f aca="false">IFERROR(INDEX(Contacts!$B$5:$B$30,MATCH(B71,Contacts!$A$5:$A$30,0)),"")</f>
        <v>Sanjeewa Rajapaksha</v>
      </c>
      <c r="D71" s="18" t="str">
        <f aca="false">IFERROR(INDEX(Contacts!$C$5:$C$30,MATCH(B71,Contacts!$A$5:$A$30,0)),"")</f>
        <v>Agri</v>
      </c>
      <c r="E71" s="18" t="n">
        <v>2</v>
      </c>
      <c r="F71" s="25"/>
      <c r="G71" s="26"/>
      <c r="H71" s="19"/>
      <c r="I71" s="4"/>
      <c r="J71" s="4"/>
      <c r="K71" s="4"/>
      <c r="L71" s="4"/>
      <c r="M71" s="4"/>
      <c r="N71" s="4"/>
      <c r="O71" s="4"/>
      <c r="P71" s="27"/>
      <c r="Q71" s="27"/>
      <c r="R71" s="4"/>
      <c r="S71" s="4"/>
      <c r="T71" s="25"/>
      <c r="U71" s="22"/>
    </row>
    <row r="72" customFormat="false" ht="15" hidden="false" customHeight="false" outlineLevel="0" collapsed="false">
      <c r="A72" s="18" t="str">
        <f aca="false">B72&amp;"-R"&amp;E72</f>
        <v>14-R3</v>
      </c>
      <c r="B72" s="18" t="n">
        <v>14</v>
      </c>
      <c r="C72" s="18" t="str">
        <f aca="false">IFERROR(INDEX(Contacts!$B$5:$B$30,MATCH(B72,Contacts!$A$5:$A$30,0)),"")</f>
        <v>Sanjeewa Rajapaksha</v>
      </c>
      <c r="D72" s="18" t="str">
        <f aca="false">IFERROR(INDEX(Contacts!$C$5:$C$30,MATCH(B72,Contacts!$A$5:$A$30,0)),"")</f>
        <v>Agri</v>
      </c>
      <c r="E72" s="18" t="n">
        <v>3</v>
      </c>
      <c r="F72" s="25"/>
      <c r="G72" s="26"/>
      <c r="H72" s="19"/>
      <c r="I72" s="4"/>
      <c r="J72" s="4"/>
      <c r="K72" s="4"/>
      <c r="L72" s="4"/>
      <c r="M72" s="4"/>
      <c r="N72" s="4"/>
      <c r="O72" s="4"/>
      <c r="P72" s="27"/>
      <c r="Q72" s="27"/>
      <c r="R72" s="4"/>
      <c r="S72" s="4"/>
      <c r="T72" s="25"/>
      <c r="U72" s="22"/>
    </row>
    <row r="73" customFormat="false" ht="15" hidden="false" customHeight="false" outlineLevel="0" collapsed="false">
      <c r="A73" s="18" t="str">
        <f aca="false">B73&amp;"-R"&amp;E73</f>
        <v>14-R4</v>
      </c>
      <c r="B73" s="18" t="n">
        <v>14</v>
      </c>
      <c r="C73" s="18" t="str">
        <f aca="false">IFERROR(INDEX(Contacts!$B$5:$B$30,MATCH(B73,Contacts!$A$5:$A$30,0)),"")</f>
        <v>Sanjeewa Rajapaksha</v>
      </c>
      <c r="D73" s="18" t="str">
        <f aca="false">IFERROR(INDEX(Contacts!$C$5:$C$30,MATCH(B73,Contacts!$A$5:$A$30,0)),"")</f>
        <v>Agri</v>
      </c>
      <c r="E73" s="18" t="n">
        <v>4</v>
      </c>
      <c r="F73" s="25"/>
      <c r="G73" s="26"/>
      <c r="H73" s="19"/>
      <c r="I73" s="4"/>
      <c r="J73" s="4"/>
      <c r="K73" s="4"/>
      <c r="L73" s="4"/>
      <c r="M73" s="4"/>
      <c r="N73" s="4"/>
      <c r="O73" s="4"/>
      <c r="P73" s="27"/>
      <c r="Q73" s="27"/>
      <c r="R73" s="4"/>
      <c r="S73" s="4"/>
      <c r="T73" s="25"/>
      <c r="U73" s="22"/>
    </row>
    <row r="74" customFormat="false" ht="15" hidden="false" customHeight="false" outlineLevel="0" collapsed="false">
      <c r="A74" s="28" t="str">
        <f aca="false">B74&amp;"-R"&amp;E74</f>
        <v>14-R5</v>
      </c>
      <c r="B74" s="28" t="n">
        <v>14</v>
      </c>
      <c r="C74" s="28" t="str">
        <f aca="false">IFERROR(INDEX(Contacts!$B$5:$B$30,MATCH(B74,Contacts!$A$5:$A$30,0)),"")</f>
        <v>Sanjeewa Rajapaksha</v>
      </c>
      <c r="D74" s="28" t="str">
        <f aca="false">IFERROR(INDEX(Contacts!$C$5:$C$30,MATCH(B74,Contacts!$A$5:$A$30,0)),"")</f>
        <v>Agri</v>
      </c>
      <c r="E74" s="28" t="n">
        <v>5</v>
      </c>
      <c r="F74" s="29"/>
      <c r="G74" s="30"/>
      <c r="H74" s="31"/>
      <c r="I74" s="32"/>
      <c r="J74" s="32"/>
      <c r="K74" s="32"/>
      <c r="L74" s="32"/>
      <c r="M74" s="32"/>
      <c r="N74" s="32"/>
      <c r="O74" s="32"/>
      <c r="P74" s="33"/>
      <c r="Q74" s="33"/>
      <c r="R74" s="32"/>
      <c r="S74" s="32"/>
      <c r="T74" s="29"/>
      <c r="U74" s="34"/>
    </row>
    <row r="75" customFormat="false" ht="15" hidden="false" customHeight="false" outlineLevel="0" collapsed="false">
      <c r="A75" s="18" t="str">
        <f aca="false">B75&amp;"-R"&amp;E75</f>
        <v>15-R1</v>
      </c>
      <c r="B75" s="18" t="n">
        <v>15</v>
      </c>
      <c r="C75" s="18" t="str">
        <f aca="false">IFERROR(INDEX(Contacts!$B$5:$B$30,MATCH(B75,Contacts!$A$5:$A$30,0)),"")</f>
        <v>Upul Weerasinghe</v>
      </c>
      <c r="D75" s="18" t="str">
        <f aca="false">IFERROR(INDEX(Contacts!$C$5:$C$30,MATCH(B75,Contacts!$A$5:$A$30,0)),"")</f>
        <v>SFT</v>
      </c>
      <c r="E75" s="18" t="n">
        <v>1</v>
      </c>
      <c r="F75" s="25"/>
      <c r="G75" s="26"/>
      <c r="H75" s="19"/>
      <c r="I75" s="4"/>
      <c r="J75" s="4"/>
      <c r="K75" s="4"/>
      <c r="L75" s="4"/>
      <c r="M75" s="4"/>
      <c r="N75" s="4"/>
      <c r="O75" s="4"/>
      <c r="P75" s="27"/>
      <c r="Q75" s="27"/>
      <c r="R75" s="4"/>
      <c r="S75" s="4"/>
      <c r="T75" s="25"/>
      <c r="U75" s="22"/>
    </row>
    <row r="76" customFormat="false" ht="15" hidden="false" customHeight="false" outlineLevel="0" collapsed="false">
      <c r="A76" s="18" t="str">
        <f aca="false">B76&amp;"-R"&amp;E76</f>
        <v>15-R2</v>
      </c>
      <c r="B76" s="18" t="n">
        <v>15</v>
      </c>
      <c r="C76" s="18" t="str">
        <f aca="false">IFERROR(INDEX(Contacts!$B$5:$B$30,MATCH(B76,Contacts!$A$5:$A$30,0)),"")</f>
        <v>Upul Weerasinghe</v>
      </c>
      <c r="D76" s="18" t="str">
        <f aca="false">IFERROR(INDEX(Contacts!$C$5:$C$30,MATCH(B76,Contacts!$A$5:$A$30,0)),"")</f>
        <v>SFT</v>
      </c>
      <c r="E76" s="18" t="n">
        <v>2</v>
      </c>
      <c r="F76" s="25"/>
      <c r="G76" s="26"/>
      <c r="H76" s="19"/>
      <c r="I76" s="4"/>
      <c r="J76" s="4"/>
      <c r="K76" s="4"/>
      <c r="L76" s="4"/>
      <c r="M76" s="4"/>
      <c r="N76" s="4"/>
      <c r="O76" s="4"/>
      <c r="P76" s="27"/>
      <c r="Q76" s="27"/>
      <c r="R76" s="4"/>
      <c r="S76" s="4"/>
      <c r="T76" s="25"/>
      <c r="U76" s="22"/>
    </row>
    <row r="77" customFormat="false" ht="15" hidden="false" customHeight="false" outlineLevel="0" collapsed="false">
      <c r="A77" s="18" t="str">
        <f aca="false">B77&amp;"-R"&amp;E77</f>
        <v>15-R3</v>
      </c>
      <c r="B77" s="18" t="n">
        <v>15</v>
      </c>
      <c r="C77" s="18" t="str">
        <f aca="false">IFERROR(INDEX(Contacts!$B$5:$B$30,MATCH(B77,Contacts!$A$5:$A$30,0)),"")</f>
        <v>Upul Weerasinghe</v>
      </c>
      <c r="D77" s="18" t="str">
        <f aca="false">IFERROR(INDEX(Contacts!$C$5:$C$30,MATCH(B77,Contacts!$A$5:$A$30,0)),"")</f>
        <v>SFT</v>
      </c>
      <c r="E77" s="18" t="n">
        <v>3</v>
      </c>
      <c r="F77" s="25"/>
      <c r="G77" s="26"/>
      <c r="H77" s="19"/>
      <c r="I77" s="4"/>
      <c r="J77" s="4"/>
      <c r="K77" s="4"/>
      <c r="L77" s="4"/>
      <c r="M77" s="4"/>
      <c r="N77" s="4"/>
      <c r="O77" s="4"/>
      <c r="P77" s="27"/>
      <c r="Q77" s="27"/>
      <c r="R77" s="4"/>
      <c r="S77" s="4"/>
      <c r="T77" s="25"/>
      <c r="U77" s="22"/>
    </row>
    <row r="78" customFormat="false" ht="15" hidden="false" customHeight="false" outlineLevel="0" collapsed="false">
      <c r="A78" s="18" t="str">
        <f aca="false">B78&amp;"-R"&amp;E78</f>
        <v>15-R4</v>
      </c>
      <c r="B78" s="18" t="n">
        <v>15</v>
      </c>
      <c r="C78" s="18" t="str">
        <f aca="false">IFERROR(INDEX(Contacts!$B$5:$B$30,MATCH(B78,Contacts!$A$5:$A$30,0)),"")</f>
        <v>Upul Weerasinghe</v>
      </c>
      <c r="D78" s="18" t="str">
        <f aca="false">IFERROR(INDEX(Contacts!$C$5:$C$30,MATCH(B78,Contacts!$A$5:$A$30,0)),"")</f>
        <v>SFT</v>
      </c>
      <c r="E78" s="18" t="n">
        <v>4</v>
      </c>
      <c r="F78" s="25"/>
      <c r="G78" s="26"/>
      <c r="H78" s="19"/>
      <c r="I78" s="4"/>
      <c r="J78" s="4"/>
      <c r="K78" s="4"/>
      <c r="L78" s="4"/>
      <c r="M78" s="4"/>
      <c r="N78" s="4"/>
      <c r="O78" s="4"/>
      <c r="P78" s="27"/>
      <c r="Q78" s="27"/>
      <c r="R78" s="4"/>
      <c r="S78" s="4"/>
      <c r="T78" s="25"/>
      <c r="U78" s="22"/>
    </row>
    <row r="79" customFormat="false" ht="15" hidden="false" customHeight="false" outlineLevel="0" collapsed="false">
      <c r="A79" s="28" t="str">
        <f aca="false">B79&amp;"-R"&amp;E79</f>
        <v>15-R5</v>
      </c>
      <c r="B79" s="28" t="n">
        <v>15</v>
      </c>
      <c r="C79" s="28" t="str">
        <f aca="false">IFERROR(INDEX(Contacts!$B$5:$B$30,MATCH(B79,Contacts!$A$5:$A$30,0)),"")</f>
        <v>Upul Weerasinghe</v>
      </c>
      <c r="D79" s="28" t="str">
        <f aca="false">IFERROR(INDEX(Contacts!$C$5:$C$30,MATCH(B79,Contacts!$A$5:$A$30,0)),"")</f>
        <v>SFT</v>
      </c>
      <c r="E79" s="28" t="n">
        <v>5</v>
      </c>
      <c r="F79" s="29"/>
      <c r="G79" s="30"/>
      <c r="H79" s="31"/>
      <c r="I79" s="32"/>
      <c r="J79" s="32"/>
      <c r="K79" s="32"/>
      <c r="L79" s="32"/>
      <c r="M79" s="32"/>
      <c r="N79" s="32"/>
      <c r="O79" s="32"/>
      <c r="P79" s="33"/>
      <c r="Q79" s="33"/>
      <c r="R79" s="32"/>
      <c r="S79" s="32"/>
      <c r="T79" s="29"/>
      <c r="U79" s="34"/>
    </row>
    <row r="80" customFormat="false" ht="15" hidden="false" customHeight="false" outlineLevel="0" collapsed="false">
      <c r="A80" s="18" t="str">
        <f aca="false">B80&amp;"-R"&amp;E80</f>
        <v>16-R1</v>
      </c>
      <c r="B80" s="18" t="n">
        <v>16</v>
      </c>
      <c r="C80" s="18" t="str">
        <f aca="false">IFERROR(INDEX(Contacts!$B$5:$B$30,MATCH(B80,Contacts!$A$5:$A$30,0)),"")</f>
        <v>Amila D Samarasinghe</v>
      </c>
      <c r="D80" s="18" t="str">
        <f aca="false">IFERROR(INDEX(Contacts!$C$5:$C$30,MATCH(B80,Contacts!$A$5:$A$30,0)),"")</f>
        <v>ET</v>
      </c>
      <c r="E80" s="18" t="n">
        <v>1</v>
      </c>
      <c r="F80" s="25"/>
      <c r="G80" s="26"/>
      <c r="H80" s="19"/>
      <c r="I80" s="4"/>
      <c r="J80" s="4"/>
      <c r="K80" s="4"/>
      <c r="L80" s="4"/>
      <c r="M80" s="4"/>
      <c r="N80" s="4"/>
      <c r="O80" s="4"/>
      <c r="P80" s="27"/>
      <c r="Q80" s="27"/>
      <c r="R80" s="4"/>
      <c r="S80" s="4"/>
      <c r="T80" s="25"/>
      <c r="U80" s="22"/>
    </row>
    <row r="81" customFormat="false" ht="15" hidden="false" customHeight="false" outlineLevel="0" collapsed="false">
      <c r="A81" s="18" t="str">
        <f aca="false">B81&amp;"-R"&amp;E81</f>
        <v>16-R2</v>
      </c>
      <c r="B81" s="18" t="n">
        <v>16</v>
      </c>
      <c r="C81" s="18" t="str">
        <f aca="false">IFERROR(INDEX(Contacts!$B$5:$B$30,MATCH(B81,Contacts!$A$5:$A$30,0)),"")</f>
        <v>Amila D Samarasinghe</v>
      </c>
      <c r="D81" s="18" t="str">
        <f aca="false">IFERROR(INDEX(Contacts!$C$5:$C$30,MATCH(B81,Contacts!$A$5:$A$30,0)),"")</f>
        <v>ET</v>
      </c>
      <c r="E81" s="18" t="n">
        <v>2</v>
      </c>
      <c r="F81" s="25"/>
      <c r="G81" s="26"/>
      <c r="H81" s="19"/>
      <c r="I81" s="4"/>
      <c r="J81" s="4"/>
      <c r="K81" s="4"/>
      <c r="L81" s="4"/>
      <c r="M81" s="4"/>
      <c r="N81" s="4"/>
      <c r="O81" s="4"/>
      <c r="P81" s="27"/>
      <c r="Q81" s="27"/>
      <c r="R81" s="4"/>
      <c r="S81" s="4"/>
      <c r="T81" s="25"/>
      <c r="U81" s="22"/>
    </row>
    <row r="82" customFormat="false" ht="15" hidden="false" customHeight="false" outlineLevel="0" collapsed="false">
      <c r="A82" s="18" t="str">
        <f aca="false">B82&amp;"-R"&amp;E82</f>
        <v>16-R3</v>
      </c>
      <c r="B82" s="18" t="n">
        <v>16</v>
      </c>
      <c r="C82" s="18" t="str">
        <f aca="false">IFERROR(INDEX(Contacts!$B$5:$B$30,MATCH(B82,Contacts!$A$5:$A$30,0)),"")</f>
        <v>Amila D Samarasinghe</v>
      </c>
      <c r="D82" s="18" t="str">
        <f aca="false">IFERROR(INDEX(Contacts!$C$5:$C$30,MATCH(B82,Contacts!$A$5:$A$30,0)),"")</f>
        <v>ET</v>
      </c>
      <c r="E82" s="18" t="n">
        <v>3</v>
      </c>
      <c r="F82" s="25"/>
      <c r="G82" s="26"/>
      <c r="H82" s="19"/>
      <c r="I82" s="4"/>
      <c r="J82" s="4"/>
      <c r="K82" s="4"/>
      <c r="L82" s="4"/>
      <c r="M82" s="4"/>
      <c r="N82" s="4"/>
      <c r="O82" s="4"/>
      <c r="P82" s="27"/>
      <c r="Q82" s="27"/>
      <c r="R82" s="4"/>
      <c r="S82" s="4"/>
      <c r="T82" s="25"/>
      <c r="U82" s="22"/>
    </row>
    <row r="83" customFormat="false" ht="15" hidden="false" customHeight="false" outlineLevel="0" collapsed="false">
      <c r="A83" s="18" t="str">
        <f aca="false">B83&amp;"-R"&amp;E83</f>
        <v>16-R4</v>
      </c>
      <c r="B83" s="18" t="n">
        <v>16</v>
      </c>
      <c r="C83" s="18" t="str">
        <f aca="false">IFERROR(INDEX(Contacts!$B$5:$B$30,MATCH(B83,Contacts!$A$5:$A$30,0)),"")</f>
        <v>Amila D Samarasinghe</v>
      </c>
      <c r="D83" s="18" t="str">
        <f aca="false">IFERROR(INDEX(Contacts!$C$5:$C$30,MATCH(B83,Contacts!$A$5:$A$30,0)),"")</f>
        <v>ET</v>
      </c>
      <c r="E83" s="18" t="n">
        <v>4</v>
      </c>
      <c r="F83" s="25"/>
      <c r="G83" s="26"/>
      <c r="H83" s="19"/>
      <c r="I83" s="4"/>
      <c r="J83" s="4"/>
      <c r="K83" s="4"/>
      <c r="L83" s="4"/>
      <c r="M83" s="4"/>
      <c r="N83" s="4"/>
      <c r="O83" s="4"/>
      <c r="P83" s="27"/>
      <c r="Q83" s="27"/>
      <c r="R83" s="4"/>
      <c r="S83" s="4"/>
      <c r="T83" s="25"/>
      <c r="U83" s="22"/>
    </row>
    <row r="84" customFormat="false" ht="15" hidden="false" customHeight="false" outlineLevel="0" collapsed="false">
      <c r="A84" s="28" t="str">
        <f aca="false">B84&amp;"-R"&amp;E84</f>
        <v>16-R5</v>
      </c>
      <c r="B84" s="28" t="n">
        <v>16</v>
      </c>
      <c r="C84" s="28" t="str">
        <f aca="false">IFERROR(INDEX(Contacts!$B$5:$B$30,MATCH(B84,Contacts!$A$5:$A$30,0)),"")</f>
        <v>Amila D Samarasinghe</v>
      </c>
      <c r="D84" s="28" t="str">
        <f aca="false">IFERROR(INDEX(Contacts!$C$5:$C$30,MATCH(B84,Contacts!$A$5:$A$30,0)),"")</f>
        <v>ET</v>
      </c>
      <c r="E84" s="28" t="n">
        <v>5</v>
      </c>
      <c r="F84" s="29"/>
      <c r="G84" s="30"/>
      <c r="H84" s="31"/>
      <c r="I84" s="32"/>
      <c r="J84" s="32"/>
      <c r="K84" s="32"/>
      <c r="L84" s="32"/>
      <c r="M84" s="32"/>
      <c r="N84" s="32"/>
      <c r="O84" s="32"/>
      <c r="P84" s="33"/>
      <c r="Q84" s="33"/>
      <c r="R84" s="32"/>
      <c r="S84" s="32"/>
      <c r="T84" s="29"/>
      <c r="U84" s="34"/>
    </row>
    <row r="85" customFormat="false" ht="15" hidden="false" customHeight="false" outlineLevel="0" collapsed="false">
      <c r="A85" s="18" t="str">
        <f aca="false">B85&amp;"-R"&amp;E85</f>
        <v>17-R1</v>
      </c>
      <c r="B85" s="18" t="n">
        <v>17</v>
      </c>
      <c r="C85" s="18" t="str">
        <f aca="false">IFERROR(INDEX(Contacts!$B$5:$B$30,MATCH(B85,Contacts!$A$5:$A$30,0)),"")</f>
        <v>Bhanuka Ekanayake</v>
      </c>
      <c r="D85" s="18" t="str">
        <f aca="false">IFERROR(INDEX(Contacts!$C$5:$C$30,MATCH(B85,Contacts!$A$5:$A$30,0)),"")</f>
        <v>ICT</v>
      </c>
      <c r="E85" s="18" t="n">
        <v>1</v>
      </c>
      <c r="F85" s="25"/>
      <c r="G85" s="26"/>
      <c r="H85" s="19"/>
      <c r="I85" s="4"/>
      <c r="J85" s="4"/>
      <c r="K85" s="4"/>
      <c r="L85" s="4"/>
      <c r="M85" s="4"/>
      <c r="N85" s="4"/>
      <c r="O85" s="4"/>
      <c r="P85" s="27"/>
      <c r="Q85" s="27"/>
      <c r="R85" s="4"/>
      <c r="S85" s="4"/>
      <c r="T85" s="25"/>
      <c r="U85" s="22"/>
    </row>
    <row r="86" customFormat="false" ht="15" hidden="false" customHeight="false" outlineLevel="0" collapsed="false">
      <c r="A86" s="18" t="str">
        <f aca="false">B86&amp;"-R"&amp;E86</f>
        <v>17-R2</v>
      </c>
      <c r="B86" s="18" t="n">
        <v>17</v>
      </c>
      <c r="C86" s="18" t="str">
        <f aca="false">IFERROR(INDEX(Contacts!$B$5:$B$30,MATCH(B86,Contacts!$A$5:$A$30,0)),"")</f>
        <v>Bhanuka Ekanayake</v>
      </c>
      <c r="D86" s="18" t="str">
        <f aca="false">IFERROR(INDEX(Contacts!$C$5:$C$30,MATCH(B86,Contacts!$A$5:$A$30,0)),"")</f>
        <v>ICT</v>
      </c>
      <c r="E86" s="18" t="n">
        <v>2</v>
      </c>
      <c r="F86" s="25"/>
      <c r="G86" s="26"/>
      <c r="H86" s="19"/>
      <c r="I86" s="4"/>
      <c r="J86" s="4"/>
      <c r="K86" s="4"/>
      <c r="L86" s="4"/>
      <c r="M86" s="4"/>
      <c r="N86" s="4"/>
      <c r="O86" s="4"/>
      <c r="P86" s="27"/>
      <c r="Q86" s="27"/>
      <c r="R86" s="4"/>
      <c r="S86" s="4"/>
      <c r="T86" s="25"/>
      <c r="U86" s="22"/>
    </row>
    <row r="87" customFormat="false" ht="15" hidden="false" customHeight="false" outlineLevel="0" collapsed="false">
      <c r="A87" s="18" t="str">
        <f aca="false">B87&amp;"-R"&amp;E87</f>
        <v>17-R3</v>
      </c>
      <c r="B87" s="18" t="n">
        <v>17</v>
      </c>
      <c r="C87" s="18" t="str">
        <f aca="false">IFERROR(INDEX(Contacts!$B$5:$B$30,MATCH(B87,Contacts!$A$5:$A$30,0)),"")</f>
        <v>Bhanuka Ekanayake</v>
      </c>
      <c r="D87" s="18" t="str">
        <f aca="false">IFERROR(INDEX(Contacts!$C$5:$C$30,MATCH(B87,Contacts!$A$5:$A$30,0)),"")</f>
        <v>ICT</v>
      </c>
      <c r="E87" s="18" t="n">
        <v>3</v>
      </c>
      <c r="F87" s="25"/>
      <c r="G87" s="26"/>
      <c r="H87" s="19"/>
      <c r="I87" s="4"/>
      <c r="J87" s="4"/>
      <c r="K87" s="4"/>
      <c r="L87" s="4"/>
      <c r="M87" s="4"/>
      <c r="N87" s="4"/>
      <c r="O87" s="4"/>
      <c r="P87" s="27"/>
      <c r="Q87" s="27"/>
      <c r="R87" s="4"/>
      <c r="S87" s="4"/>
      <c r="T87" s="25"/>
      <c r="U87" s="22"/>
    </row>
    <row r="88" customFormat="false" ht="15" hidden="false" customHeight="false" outlineLevel="0" collapsed="false">
      <c r="A88" s="18" t="str">
        <f aca="false">B88&amp;"-R"&amp;E88</f>
        <v>17-R4</v>
      </c>
      <c r="B88" s="18" t="n">
        <v>17</v>
      </c>
      <c r="C88" s="18" t="str">
        <f aca="false">IFERROR(INDEX(Contacts!$B$5:$B$30,MATCH(B88,Contacts!$A$5:$A$30,0)),"")</f>
        <v>Bhanuka Ekanayake</v>
      </c>
      <c r="D88" s="18" t="str">
        <f aca="false">IFERROR(INDEX(Contacts!$C$5:$C$30,MATCH(B88,Contacts!$A$5:$A$30,0)),"")</f>
        <v>ICT</v>
      </c>
      <c r="E88" s="18" t="n">
        <v>4</v>
      </c>
      <c r="F88" s="25"/>
      <c r="G88" s="26"/>
      <c r="H88" s="19"/>
      <c r="I88" s="4"/>
      <c r="J88" s="4"/>
      <c r="K88" s="4"/>
      <c r="L88" s="4"/>
      <c r="M88" s="4"/>
      <c r="N88" s="4"/>
      <c r="O88" s="4"/>
      <c r="P88" s="27"/>
      <c r="Q88" s="27"/>
      <c r="R88" s="4"/>
      <c r="S88" s="4"/>
      <c r="T88" s="25"/>
      <c r="U88" s="22"/>
    </row>
    <row r="89" customFormat="false" ht="15" hidden="false" customHeight="false" outlineLevel="0" collapsed="false">
      <c r="A89" s="28" t="str">
        <f aca="false">B89&amp;"-R"&amp;E89</f>
        <v>17-R5</v>
      </c>
      <c r="B89" s="28" t="n">
        <v>17</v>
      </c>
      <c r="C89" s="28" t="str">
        <f aca="false">IFERROR(INDEX(Contacts!$B$5:$B$30,MATCH(B89,Contacts!$A$5:$A$30,0)),"")</f>
        <v>Bhanuka Ekanayake</v>
      </c>
      <c r="D89" s="28" t="str">
        <f aca="false">IFERROR(INDEX(Contacts!$C$5:$C$30,MATCH(B89,Contacts!$A$5:$A$30,0)),"")</f>
        <v>ICT</v>
      </c>
      <c r="E89" s="28" t="n">
        <v>5</v>
      </c>
      <c r="F89" s="29"/>
      <c r="G89" s="30"/>
      <c r="H89" s="31"/>
      <c r="I89" s="32"/>
      <c r="J89" s="32"/>
      <c r="K89" s="32"/>
      <c r="L89" s="32"/>
      <c r="M89" s="32"/>
      <c r="N89" s="32"/>
      <c r="O89" s="32"/>
      <c r="P89" s="33"/>
      <c r="Q89" s="33"/>
      <c r="R89" s="32"/>
      <c r="S89" s="32"/>
      <c r="T89" s="29"/>
      <c r="U89" s="34"/>
    </row>
    <row r="90" customFormat="false" ht="15" hidden="false" customHeight="false" outlineLevel="0" collapsed="false">
      <c r="A90" s="18" t="str">
        <f aca="false">B90&amp;"-R"&amp;E90</f>
        <v>18-R1</v>
      </c>
      <c r="B90" s="18" t="n">
        <v>18</v>
      </c>
      <c r="C90" s="18" t="str">
        <f aca="false">IFERROR(INDEX(Contacts!$B$5:$B$30,MATCH(B90,Contacts!$A$5:$A$30,0)),"")</f>
        <v>Lucky Chathuranga</v>
      </c>
      <c r="D90" s="18" t="str">
        <f aca="false">IFERROR(INDEX(Contacts!$C$5:$C$30,MATCH(B90,Contacts!$A$5:$A$30,0)),"")</f>
        <v>Econ</v>
      </c>
      <c r="E90" s="18" t="n">
        <v>1</v>
      </c>
      <c r="F90" s="25"/>
      <c r="G90" s="26"/>
      <c r="H90" s="19"/>
      <c r="I90" s="4"/>
      <c r="J90" s="4"/>
      <c r="K90" s="4"/>
      <c r="L90" s="4"/>
      <c r="M90" s="4"/>
      <c r="N90" s="4"/>
      <c r="O90" s="4"/>
      <c r="P90" s="27"/>
      <c r="Q90" s="27"/>
      <c r="R90" s="4"/>
      <c r="S90" s="4"/>
      <c r="T90" s="25"/>
      <c r="U90" s="22"/>
    </row>
    <row r="91" customFormat="false" ht="15" hidden="false" customHeight="false" outlineLevel="0" collapsed="false">
      <c r="A91" s="18" t="str">
        <f aca="false">B91&amp;"-R"&amp;E91</f>
        <v>18-R2</v>
      </c>
      <c r="B91" s="18" t="n">
        <v>18</v>
      </c>
      <c r="C91" s="18" t="str">
        <f aca="false">IFERROR(INDEX(Contacts!$B$5:$B$30,MATCH(B91,Contacts!$A$5:$A$30,0)),"")</f>
        <v>Lucky Chathuranga</v>
      </c>
      <c r="D91" s="18" t="str">
        <f aca="false">IFERROR(INDEX(Contacts!$C$5:$C$30,MATCH(B91,Contacts!$A$5:$A$30,0)),"")</f>
        <v>Econ</v>
      </c>
      <c r="E91" s="18" t="n">
        <v>2</v>
      </c>
      <c r="F91" s="25"/>
      <c r="G91" s="26"/>
      <c r="H91" s="19"/>
      <c r="I91" s="4"/>
      <c r="J91" s="4"/>
      <c r="K91" s="4"/>
      <c r="L91" s="4"/>
      <c r="M91" s="4"/>
      <c r="N91" s="4"/>
      <c r="O91" s="4"/>
      <c r="P91" s="27"/>
      <c r="Q91" s="27"/>
      <c r="R91" s="4"/>
      <c r="S91" s="4"/>
      <c r="T91" s="25"/>
      <c r="U91" s="22"/>
    </row>
    <row r="92" customFormat="false" ht="15" hidden="false" customHeight="false" outlineLevel="0" collapsed="false">
      <c r="A92" s="18" t="str">
        <f aca="false">B92&amp;"-R"&amp;E92</f>
        <v>18-R3</v>
      </c>
      <c r="B92" s="18" t="n">
        <v>18</v>
      </c>
      <c r="C92" s="18" t="str">
        <f aca="false">IFERROR(INDEX(Contacts!$B$5:$B$30,MATCH(B92,Contacts!$A$5:$A$30,0)),"")</f>
        <v>Lucky Chathuranga</v>
      </c>
      <c r="D92" s="18" t="str">
        <f aca="false">IFERROR(INDEX(Contacts!$C$5:$C$30,MATCH(B92,Contacts!$A$5:$A$30,0)),"")</f>
        <v>Econ</v>
      </c>
      <c r="E92" s="18" t="n">
        <v>3</v>
      </c>
      <c r="F92" s="25"/>
      <c r="G92" s="26"/>
      <c r="H92" s="19"/>
      <c r="I92" s="4"/>
      <c r="J92" s="4"/>
      <c r="K92" s="4"/>
      <c r="L92" s="4"/>
      <c r="M92" s="4"/>
      <c r="N92" s="4"/>
      <c r="O92" s="4"/>
      <c r="P92" s="27"/>
      <c r="Q92" s="27"/>
      <c r="R92" s="4"/>
      <c r="S92" s="4"/>
      <c r="T92" s="25"/>
      <c r="U92" s="22"/>
    </row>
    <row r="93" customFormat="false" ht="15" hidden="false" customHeight="false" outlineLevel="0" collapsed="false">
      <c r="A93" s="18" t="str">
        <f aca="false">B93&amp;"-R"&amp;E93</f>
        <v>18-R4</v>
      </c>
      <c r="B93" s="18" t="n">
        <v>18</v>
      </c>
      <c r="C93" s="18" t="str">
        <f aca="false">IFERROR(INDEX(Contacts!$B$5:$B$30,MATCH(B93,Contacts!$A$5:$A$30,0)),"")</f>
        <v>Lucky Chathuranga</v>
      </c>
      <c r="D93" s="18" t="str">
        <f aca="false">IFERROR(INDEX(Contacts!$C$5:$C$30,MATCH(B93,Contacts!$A$5:$A$30,0)),"")</f>
        <v>Econ</v>
      </c>
      <c r="E93" s="18" t="n">
        <v>4</v>
      </c>
      <c r="F93" s="25"/>
      <c r="G93" s="26"/>
      <c r="H93" s="19"/>
      <c r="I93" s="4"/>
      <c r="J93" s="4"/>
      <c r="K93" s="4"/>
      <c r="L93" s="4"/>
      <c r="M93" s="4"/>
      <c r="N93" s="4"/>
      <c r="O93" s="4"/>
      <c r="P93" s="27"/>
      <c r="Q93" s="27"/>
      <c r="R93" s="4"/>
      <c r="S93" s="4"/>
      <c r="T93" s="25"/>
      <c r="U93" s="22"/>
    </row>
    <row r="94" customFormat="false" ht="15" hidden="false" customHeight="false" outlineLevel="0" collapsed="false">
      <c r="A94" s="28" t="str">
        <f aca="false">B94&amp;"-R"&amp;E94</f>
        <v>18-R5</v>
      </c>
      <c r="B94" s="28" t="n">
        <v>18</v>
      </c>
      <c r="C94" s="28" t="str">
        <f aca="false">IFERROR(INDEX(Contacts!$B$5:$B$30,MATCH(B94,Contacts!$A$5:$A$30,0)),"")</f>
        <v>Lucky Chathuranga</v>
      </c>
      <c r="D94" s="28" t="str">
        <f aca="false">IFERROR(INDEX(Contacts!$C$5:$C$30,MATCH(B94,Contacts!$A$5:$A$30,0)),"")</f>
        <v>Econ</v>
      </c>
      <c r="E94" s="28" t="n">
        <v>5</v>
      </c>
      <c r="F94" s="29"/>
      <c r="G94" s="30"/>
      <c r="H94" s="31"/>
      <c r="I94" s="32"/>
      <c r="J94" s="32"/>
      <c r="K94" s="32"/>
      <c r="L94" s="32"/>
      <c r="M94" s="32"/>
      <c r="N94" s="32"/>
      <c r="O94" s="32"/>
      <c r="P94" s="33"/>
      <c r="Q94" s="33"/>
      <c r="R94" s="32"/>
      <c r="S94" s="32"/>
      <c r="T94" s="29"/>
      <c r="U94" s="34"/>
    </row>
    <row r="95" customFormat="false" ht="15" hidden="false" customHeight="false" outlineLevel="0" collapsed="false">
      <c r="A95" s="18" t="str">
        <f aca="false">B95&amp;"-R"&amp;E95</f>
        <v>19-R1</v>
      </c>
      <c r="B95" s="18" t="n">
        <v>19</v>
      </c>
      <c r="C95" s="18" t="str">
        <f aca="false">IFERROR(INDEX(Contacts!$B$5:$B$30,MATCH(B95,Contacts!$A$5:$A$30,0)),"")</f>
        <v>Kasun Liyanage</v>
      </c>
      <c r="D95" s="18" t="str">
        <f aca="false">IFERROR(INDEX(Contacts!$C$5:$C$30,MATCH(B95,Contacts!$A$5:$A$30,0)),"")</f>
        <v>Econ</v>
      </c>
      <c r="E95" s="18" t="n">
        <v>1</v>
      </c>
      <c r="F95" s="25"/>
      <c r="G95" s="26"/>
      <c r="H95" s="19"/>
      <c r="I95" s="4"/>
      <c r="J95" s="4"/>
      <c r="K95" s="4"/>
      <c r="L95" s="4"/>
      <c r="M95" s="4"/>
      <c r="N95" s="4"/>
      <c r="O95" s="4"/>
      <c r="P95" s="27"/>
      <c r="Q95" s="27"/>
      <c r="R95" s="4"/>
      <c r="S95" s="4"/>
      <c r="T95" s="25"/>
      <c r="U95" s="22"/>
    </row>
    <row r="96" customFormat="false" ht="15" hidden="false" customHeight="false" outlineLevel="0" collapsed="false">
      <c r="A96" s="18" t="str">
        <f aca="false">B96&amp;"-R"&amp;E96</f>
        <v>19-R2</v>
      </c>
      <c r="B96" s="18" t="n">
        <v>19</v>
      </c>
      <c r="C96" s="18" t="str">
        <f aca="false">IFERROR(INDEX(Contacts!$B$5:$B$30,MATCH(B96,Contacts!$A$5:$A$30,0)),"")</f>
        <v>Kasun Liyanage</v>
      </c>
      <c r="D96" s="18" t="str">
        <f aca="false">IFERROR(INDEX(Contacts!$C$5:$C$30,MATCH(B96,Contacts!$A$5:$A$30,0)),"")</f>
        <v>Econ</v>
      </c>
      <c r="E96" s="18" t="n">
        <v>2</v>
      </c>
      <c r="F96" s="25"/>
      <c r="G96" s="26"/>
      <c r="H96" s="19"/>
      <c r="I96" s="4"/>
      <c r="J96" s="4"/>
      <c r="K96" s="4"/>
      <c r="L96" s="4"/>
      <c r="M96" s="4"/>
      <c r="N96" s="4"/>
      <c r="O96" s="4"/>
      <c r="P96" s="27"/>
      <c r="Q96" s="27"/>
      <c r="R96" s="4"/>
      <c r="S96" s="4"/>
      <c r="T96" s="25"/>
      <c r="U96" s="22"/>
    </row>
    <row r="97" customFormat="false" ht="15" hidden="false" customHeight="false" outlineLevel="0" collapsed="false">
      <c r="A97" s="18" t="str">
        <f aca="false">B97&amp;"-R"&amp;E97</f>
        <v>19-R3</v>
      </c>
      <c r="B97" s="18" t="n">
        <v>19</v>
      </c>
      <c r="C97" s="18" t="str">
        <f aca="false">IFERROR(INDEX(Contacts!$B$5:$B$30,MATCH(B97,Contacts!$A$5:$A$30,0)),"")</f>
        <v>Kasun Liyanage</v>
      </c>
      <c r="D97" s="18" t="str">
        <f aca="false">IFERROR(INDEX(Contacts!$C$5:$C$30,MATCH(B97,Contacts!$A$5:$A$30,0)),"")</f>
        <v>Econ</v>
      </c>
      <c r="E97" s="18" t="n">
        <v>3</v>
      </c>
      <c r="F97" s="25"/>
      <c r="G97" s="26"/>
      <c r="H97" s="19"/>
      <c r="I97" s="4"/>
      <c r="J97" s="4"/>
      <c r="K97" s="4"/>
      <c r="L97" s="4"/>
      <c r="M97" s="4"/>
      <c r="N97" s="4"/>
      <c r="O97" s="4"/>
      <c r="P97" s="27"/>
      <c r="Q97" s="27"/>
      <c r="R97" s="4"/>
      <c r="S97" s="4"/>
      <c r="T97" s="25"/>
      <c r="U97" s="22"/>
    </row>
    <row r="98" customFormat="false" ht="15" hidden="false" customHeight="false" outlineLevel="0" collapsed="false">
      <c r="A98" s="18" t="str">
        <f aca="false">B98&amp;"-R"&amp;E98</f>
        <v>19-R4</v>
      </c>
      <c r="B98" s="18" t="n">
        <v>19</v>
      </c>
      <c r="C98" s="18" t="str">
        <f aca="false">IFERROR(INDEX(Contacts!$B$5:$B$30,MATCH(B98,Contacts!$A$5:$A$30,0)),"")</f>
        <v>Kasun Liyanage</v>
      </c>
      <c r="D98" s="18" t="str">
        <f aca="false">IFERROR(INDEX(Contacts!$C$5:$C$30,MATCH(B98,Contacts!$A$5:$A$30,0)),"")</f>
        <v>Econ</v>
      </c>
      <c r="E98" s="18" t="n">
        <v>4</v>
      </c>
      <c r="F98" s="25"/>
      <c r="G98" s="26"/>
      <c r="H98" s="19"/>
      <c r="I98" s="4"/>
      <c r="J98" s="4"/>
      <c r="K98" s="4"/>
      <c r="L98" s="4"/>
      <c r="M98" s="4"/>
      <c r="N98" s="4"/>
      <c r="O98" s="4"/>
      <c r="P98" s="27"/>
      <c r="Q98" s="27"/>
      <c r="R98" s="4"/>
      <c r="S98" s="4"/>
      <c r="T98" s="25"/>
      <c r="U98" s="22"/>
    </row>
    <row r="99" customFormat="false" ht="15" hidden="false" customHeight="false" outlineLevel="0" collapsed="false">
      <c r="A99" s="28" t="str">
        <f aca="false">B99&amp;"-R"&amp;E99</f>
        <v>19-R5</v>
      </c>
      <c r="B99" s="28" t="n">
        <v>19</v>
      </c>
      <c r="C99" s="28" t="str">
        <f aca="false">IFERROR(INDEX(Contacts!$B$5:$B$30,MATCH(B99,Contacts!$A$5:$A$30,0)),"")</f>
        <v>Kasun Liyanage</v>
      </c>
      <c r="D99" s="28" t="str">
        <f aca="false">IFERROR(INDEX(Contacts!$C$5:$C$30,MATCH(B99,Contacts!$A$5:$A$30,0)),"")</f>
        <v>Econ</v>
      </c>
      <c r="E99" s="28" t="n">
        <v>5</v>
      </c>
      <c r="F99" s="29"/>
      <c r="G99" s="30"/>
      <c r="H99" s="31"/>
      <c r="I99" s="32"/>
      <c r="J99" s="32"/>
      <c r="K99" s="32"/>
      <c r="L99" s="32"/>
      <c r="M99" s="32"/>
      <c r="N99" s="32"/>
      <c r="O99" s="32"/>
      <c r="P99" s="33"/>
      <c r="Q99" s="33"/>
      <c r="R99" s="32"/>
      <c r="S99" s="32"/>
      <c r="T99" s="29"/>
      <c r="U99" s="34"/>
    </row>
    <row r="100" customFormat="false" ht="15" hidden="false" customHeight="false" outlineLevel="0" collapsed="false">
      <c r="A100" s="18" t="str">
        <f aca="false">B100&amp;"-R"&amp;E100</f>
        <v>20-R1</v>
      </c>
      <c r="B100" s="18" t="n">
        <v>20</v>
      </c>
      <c r="C100" s="18" t="str">
        <f aca="false">IFERROR(INDEX(Contacts!$B$5:$B$30,MATCH(B100,Contacts!$A$5:$A$30,0)),"")</f>
        <v>Sameera Edirisinghe</v>
      </c>
      <c r="D100" s="18" t="str">
        <f aca="false">IFERROR(INDEX(Contacts!$C$5:$C$30,MATCH(B100,Contacts!$A$5:$A$30,0)),"")</f>
        <v>Logic</v>
      </c>
      <c r="E100" s="18" t="n">
        <v>1</v>
      </c>
      <c r="F100" s="25"/>
      <c r="G100" s="26"/>
      <c r="H100" s="19"/>
      <c r="I100" s="4"/>
      <c r="J100" s="4"/>
      <c r="K100" s="4"/>
      <c r="L100" s="4"/>
      <c r="M100" s="4"/>
      <c r="N100" s="4"/>
      <c r="O100" s="4"/>
      <c r="P100" s="27"/>
      <c r="Q100" s="27"/>
      <c r="R100" s="4"/>
      <c r="S100" s="4"/>
      <c r="T100" s="25"/>
      <c r="U100" s="22"/>
    </row>
    <row r="101" customFormat="false" ht="15" hidden="false" customHeight="false" outlineLevel="0" collapsed="false">
      <c r="A101" s="18" t="str">
        <f aca="false">B101&amp;"-R"&amp;E101</f>
        <v>20-R2</v>
      </c>
      <c r="B101" s="18" t="n">
        <v>20</v>
      </c>
      <c r="C101" s="18" t="str">
        <f aca="false">IFERROR(INDEX(Contacts!$B$5:$B$30,MATCH(B101,Contacts!$A$5:$A$30,0)),"")</f>
        <v>Sameera Edirisinghe</v>
      </c>
      <c r="D101" s="18" t="str">
        <f aca="false">IFERROR(INDEX(Contacts!$C$5:$C$30,MATCH(B101,Contacts!$A$5:$A$30,0)),"")</f>
        <v>Logic</v>
      </c>
      <c r="E101" s="18" t="n">
        <v>2</v>
      </c>
      <c r="F101" s="25"/>
      <c r="G101" s="26"/>
      <c r="H101" s="19"/>
      <c r="I101" s="4"/>
      <c r="J101" s="4"/>
      <c r="K101" s="4"/>
      <c r="L101" s="4"/>
      <c r="M101" s="4"/>
      <c r="N101" s="4"/>
      <c r="O101" s="4"/>
      <c r="P101" s="27"/>
      <c r="Q101" s="27"/>
      <c r="R101" s="4"/>
      <c r="S101" s="4"/>
      <c r="T101" s="25"/>
      <c r="U101" s="22"/>
    </row>
    <row r="102" customFormat="false" ht="15" hidden="false" customHeight="false" outlineLevel="0" collapsed="false">
      <c r="A102" s="18" t="str">
        <f aca="false">B102&amp;"-R"&amp;E102</f>
        <v>20-R3</v>
      </c>
      <c r="B102" s="18" t="n">
        <v>20</v>
      </c>
      <c r="C102" s="18" t="str">
        <f aca="false">IFERROR(INDEX(Contacts!$B$5:$B$30,MATCH(B102,Contacts!$A$5:$A$30,0)),"")</f>
        <v>Sameera Edirisinghe</v>
      </c>
      <c r="D102" s="18" t="str">
        <f aca="false">IFERROR(INDEX(Contacts!$C$5:$C$30,MATCH(B102,Contacts!$A$5:$A$30,0)),"")</f>
        <v>Logic</v>
      </c>
      <c r="E102" s="18" t="n">
        <v>3</v>
      </c>
      <c r="F102" s="25"/>
      <c r="G102" s="26"/>
      <c r="H102" s="19"/>
      <c r="I102" s="4"/>
      <c r="J102" s="4"/>
      <c r="K102" s="4"/>
      <c r="L102" s="4"/>
      <c r="M102" s="4"/>
      <c r="N102" s="4"/>
      <c r="O102" s="4"/>
      <c r="P102" s="27"/>
      <c r="Q102" s="27"/>
      <c r="R102" s="4"/>
      <c r="S102" s="4"/>
      <c r="T102" s="25"/>
      <c r="U102" s="22"/>
    </row>
    <row r="103" customFormat="false" ht="15" hidden="false" customHeight="false" outlineLevel="0" collapsed="false">
      <c r="A103" s="18" t="str">
        <f aca="false">B103&amp;"-R"&amp;E103</f>
        <v>20-R4</v>
      </c>
      <c r="B103" s="18" t="n">
        <v>20</v>
      </c>
      <c r="C103" s="18" t="str">
        <f aca="false">IFERROR(INDEX(Contacts!$B$5:$B$30,MATCH(B103,Contacts!$A$5:$A$30,0)),"")</f>
        <v>Sameera Edirisinghe</v>
      </c>
      <c r="D103" s="18" t="str">
        <f aca="false">IFERROR(INDEX(Contacts!$C$5:$C$30,MATCH(B103,Contacts!$A$5:$A$30,0)),"")</f>
        <v>Logic</v>
      </c>
      <c r="E103" s="18" t="n">
        <v>4</v>
      </c>
      <c r="F103" s="25"/>
      <c r="G103" s="26"/>
      <c r="H103" s="19"/>
      <c r="I103" s="4"/>
      <c r="J103" s="4"/>
      <c r="K103" s="4"/>
      <c r="L103" s="4"/>
      <c r="M103" s="4"/>
      <c r="N103" s="4"/>
      <c r="O103" s="4"/>
      <c r="P103" s="27"/>
      <c r="Q103" s="27"/>
      <c r="R103" s="4"/>
      <c r="S103" s="4"/>
      <c r="T103" s="25"/>
      <c r="U103" s="22"/>
    </row>
    <row r="104" customFormat="false" ht="15" hidden="false" customHeight="false" outlineLevel="0" collapsed="false">
      <c r="A104" s="28" t="str">
        <f aca="false">B104&amp;"-R"&amp;E104</f>
        <v>20-R5</v>
      </c>
      <c r="B104" s="28" t="n">
        <v>20</v>
      </c>
      <c r="C104" s="28" t="str">
        <f aca="false">IFERROR(INDEX(Contacts!$B$5:$B$30,MATCH(B104,Contacts!$A$5:$A$30,0)),"")</f>
        <v>Sameera Edirisinghe</v>
      </c>
      <c r="D104" s="28" t="str">
        <f aca="false">IFERROR(INDEX(Contacts!$C$5:$C$30,MATCH(B104,Contacts!$A$5:$A$30,0)),"")</f>
        <v>Logic</v>
      </c>
      <c r="E104" s="28" t="n">
        <v>5</v>
      </c>
      <c r="F104" s="29"/>
      <c r="G104" s="30"/>
      <c r="H104" s="31"/>
      <c r="I104" s="32"/>
      <c r="J104" s="32"/>
      <c r="K104" s="32"/>
      <c r="L104" s="32"/>
      <c r="M104" s="32"/>
      <c r="N104" s="32"/>
      <c r="O104" s="32"/>
      <c r="P104" s="33"/>
      <c r="Q104" s="33"/>
      <c r="R104" s="32"/>
      <c r="S104" s="32"/>
      <c r="T104" s="29"/>
      <c r="U104" s="34"/>
    </row>
    <row r="105" customFormat="false" ht="15" hidden="false" customHeight="false" outlineLevel="0" collapsed="false">
      <c r="A105" s="18" t="str">
        <f aca="false">B105&amp;"-R"&amp;E105</f>
        <v>21-R1</v>
      </c>
      <c r="B105" s="18" t="n">
        <v>21</v>
      </c>
      <c r="C105" s="18" t="str">
        <f aca="false">IFERROR(INDEX(Contacts!$B$5:$B$30,MATCH(B105,Contacts!$A$5:$A$30,0)),"")</f>
        <v>Srimal Wijesinghe</v>
      </c>
      <c r="D105" s="18" t="str">
        <f aca="false">IFERROR(INDEX(Contacts!$C$5:$C$30,MATCH(B105,Contacts!$A$5:$A$30,0)),"")</f>
        <v>ET</v>
      </c>
      <c r="E105" s="18" t="n">
        <v>1</v>
      </c>
      <c r="F105" s="25"/>
      <c r="G105" s="26"/>
      <c r="H105" s="19"/>
      <c r="I105" s="4"/>
      <c r="J105" s="4"/>
      <c r="K105" s="4"/>
      <c r="L105" s="4"/>
      <c r="M105" s="4"/>
      <c r="N105" s="4"/>
      <c r="O105" s="4"/>
      <c r="P105" s="27"/>
      <c r="Q105" s="27"/>
      <c r="R105" s="4"/>
      <c r="S105" s="4"/>
      <c r="T105" s="25"/>
      <c r="U105" s="22"/>
    </row>
    <row r="106" customFormat="false" ht="15" hidden="false" customHeight="false" outlineLevel="0" collapsed="false">
      <c r="A106" s="18" t="str">
        <f aca="false">B106&amp;"-R"&amp;E106</f>
        <v>21-R2</v>
      </c>
      <c r="B106" s="18" t="n">
        <v>21</v>
      </c>
      <c r="C106" s="18" t="str">
        <f aca="false">IFERROR(INDEX(Contacts!$B$5:$B$30,MATCH(B106,Contacts!$A$5:$A$30,0)),"")</f>
        <v>Srimal Wijesinghe</v>
      </c>
      <c r="D106" s="18" t="str">
        <f aca="false">IFERROR(INDEX(Contacts!$C$5:$C$30,MATCH(B106,Contacts!$A$5:$A$30,0)),"")</f>
        <v>ET</v>
      </c>
      <c r="E106" s="18" t="n">
        <v>2</v>
      </c>
      <c r="F106" s="25"/>
      <c r="G106" s="26"/>
      <c r="H106" s="19"/>
      <c r="I106" s="4"/>
      <c r="J106" s="4"/>
      <c r="K106" s="4"/>
      <c r="L106" s="4"/>
      <c r="M106" s="4"/>
      <c r="N106" s="4"/>
      <c r="O106" s="4"/>
      <c r="P106" s="27"/>
      <c r="Q106" s="27"/>
      <c r="R106" s="4"/>
      <c r="S106" s="4"/>
      <c r="T106" s="25"/>
      <c r="U106" s="22"/>
    </row>
    <row r="107" customFormat="false" ht="15" hidden="false" customHeight="false" outlineLevel="0" collapsed="false">
      <c r="A107" s="18" t="str">
        <f aca="false">B107&amp;"-R"&amp;E107</f>
        <v>21-R3</v>
      </c>
      <c r="B107" s="18" t="n">
        <v>21</v>
      </c>
      <c r="C107" s="18" t="str">
        <f aca="false">IFERROR(INDEX(Contacts!$B$5:$B$30,MATCH(B107,Contacts!$A$5:$A$30,0)),"")</f>
        <v>Srimal Wijesinghe</v>
      </c>
      <c r="D107" s="18" t="str">
        <f aca="false">IFERROR(INDEX(Contacts!$C$5:$C$30,MATCH(B107,Contacts!$A$5:$A$30,0)),"")</f>
        <v>ET</v>
      </c>
      <c r="E107" s="18" t="n">
        <v>3</v>
      </c>
      <c r="F107" s="25"/>
      <c r="G107" s="26"/>
      <c r="H107" s="19"/>
      <c r="I107" s="4"/>
      <c r="J107" s="4"/>
      <c r="K107" s="4"/>
      <c r="L107" s="4"/>
      <c r="M107" s="4"/>
      <c r="N107" s="4"/>
      <c r="O107" s="4"/>
      <c r="P107" s="27"/>
      <c r="Q107" s="27"/>
      <c r="R107" s="4"/>
      <c r="S107" s="4"/>
      <c r="T107" s="25"/>
      <c r="U107" s="22"/>
    </row>
    <row r="108" customFormat="false" ht="15" hidden="false" customHeight="false" outlineLevel="0" collapsed="false">
      <c r="A108" s="18" t="str">
        <f aca="false">B108&amp;"-R"&amp;E108</f>
        <v>21-R4</v>
      </c>
      <c r="B108" s="18" t="n">
        <v>21</v>
      </c>
      <c r="C108" s="18" t="str">
        <f aca="false">IFERROR(INDEX(Contacts!$B$5:$B$30,MATCH(B108,Contacts!$A$5:$A$30,0)),"")</f>
        <v>Srimal Wijesinghe</v>
      </c>
      <c r="D108" s="18" t="str">
        <f aca="false">IFERROR(INDEX(Contacts!$C$5:$C$30,MATCH(B108,Contacts!$A$5:$A$30,0)),"")</f>
        <v>ET</v>
      </c>
      <c r="E108" s="18" t="n">
        <v>4</v>
      </c>
      <c r="F108" s="25"/>
      <c r="G108" s="26"/>
      <c r="H108" s="19"/>
      <c r="I108" s="4"/>
      <c r="J108" s="4"/>
      <c r="K108" s="4"/>
      <c r="L108" s="4"/>
      <c r="M108" s="4"/>
      <c r="N108" s="4"/>
      <c r="O108" s="4"/>
      <c r="P108" s="27"/>
      <c r="Q108" s="27"/>
      <c r="R108" s="4"/>
      <c r="S108" s="4"/>
      <c r="T108" s="25"/>
      <c r="U108" s="22"/>
    </row>
    <row r="109" customFormat="false" ht="15" hidden="false" customHeight="false" outlineLevel="0" collapsed="false">
      <c r="A109" s="28" t="str">
        <f aca="false">B109&amp;"-R"&amp;E109</f>
        <v>21-R5</v>
      </c>
      <c r="B109" s="28" t="n">
        <v>21</v>
      </c>
      <c r="C109" s="28" t="str">
        <f aca="false">IFERROR(INDEX(Contacts!$B$5:$B$30,MATCH(B109,Contacts!$A$5:$A$30,0)),"")</f>
        <v>Srimal Wijesinghe</v>
      </c>
      <c r="D109" s="28" t="str">
        <f aca="false">IFERROR(INDEX(Contacts!$C$5:$C$30,MATCH(B109,Contacts!$A$5:$A$30,0)),"")</f>
        <v>ET</v>
      </c>
      <c r="E109" s="28" t="n">
        <v>5</v>
      </c>
      <c r="F109" s="29"/>
      <c r="G109" s="30"/>
      <c r="H109" s="31"/>
      <c r="I109" s="32"/>
      <c r="J109" s="32"/>
      <c r="K109" s="32"/>
      <c r="L109" s="32"/>
      <c r="M109" s="32"/>
      <c r="N109" s="32"/>
      <c r="O109" s="32"/>
      <c r="P109" s="33"/>
      <c r="Q109" s="33"/>
      <c r="R109" s="32"/>
      <c r="S109" s="32"/>
      <c r="T109" s="29"/>
      <c r="U109" s="34"/>
    </row>
    <row r="110" customFormat="false" ht="15" hidden="false" customHeight="false" outlineLevel="0" collapsed="false">
      <c r="A110" s="18" t="str">
        <f aca="false">B110&amp;"-R"&amp;E110</f>
        <v>22-R1</v>
      </c>
      <c r="B110" s="18" t="n">
        <v>22</v>
      </c>
      <c r="C110" s="18" t="str">
        <f aca="false">IFERROR(INDEX(Contacts!$B$5:$B$30,MATCH(B110,Contacts!$A$5:$A$30,0)),"")</f>
        <v>Malaka Priyadarshana</v>
      </c>
      <c r="D110" s="18" t="str">
        <f aca="false">IFERROR(INDEX(Contacts!$C$5:$C$30,MATCH(B110,Contacts!$A$5:$A$30,0)),"")</f>
        <v>SFT</v>
      </c>
      <c r="E110" s="18" t="n">
        <v>1</v>
      </c>
      <c r="F110" s="25"/>
      <c r="G110" s="26"/>
      <c r="H110" s="19"/>
      <c r="I110" s="4"/>
      <c r="J110" s="4"/>
      <c r="K110" s="4"/>
      <c r="L110" s="4"/>
      <c r="M110" s="4"/>
      <c r="N110" s="4"/>
      <c r="O110" s="4"/>
      <c r="P110" s="27"/>
      <c r="Q110" s="27"/>
      <c r="R110" s="4"/>
      <c r="S110" s="4"/>
      <c r="T110" s="25"/>
      <c r="U110" s="22"/>
    </row>
    <row r="111" customFormat="false" ht="15" hidden="false" customHeight="false" outlineLevel="0" collapsed="false">
      <c r="A111" s="18" t="str">
        <f aca="false">B111&amp;"-R"&amp;E111</f>
        <v>22-R2</v>
      </c>
      <c r="B111" s="18" t="n">
        <v>22</v>
      </c>
      <c r="C111" s="18" t="str">
        <f aca="false">IFERROR(INDEX(Contacts!$B$5:$B$30,MATCH(B111,Contacts!$A$5:$A$30,0)),"")</f>
        <v>Malaka Priyadarshana</v>
      </c>
      <c r="D111" s="18" t="str">
        <f aca="false">IFERROR(INDEX(Contacts!$C$5:$C$30,MATCH(B111,Contacts!$A$5:$A$30,0)),"")</f>
        <v>SFT</v>
      </c>
      <c r="E111" s="18" t="n">
        <v>2</v>
      </c>
      <c r="F111" s="25"/>
      <c r="G111" s="26"/>
      <c r="H111" s="19"/>
      <c r="I111" s="4"/>
      <c r="J111" s="4"/>
      <c r="K111" s="4"/>
      <c r="L111" s="4"/>
      <c r="M111" s="4"/>
      <c r="N111" s="4"/>
      <c r="O111" s="4"/>
      <c r="P111" s="27"/>
      <c r="Q111" s="27"/>
      <c r="R111" s="4"/>
      <c r="S111" s="4"/>
      <c r="T111" s="25"/>
      <c r="U111" s="22"/>
    </row>
    <row r="112" customFormat="false" ht="15" hidden="false" customHeight="false" outlineLevel="0" collapsed="false">
      <c r="A112" s="18" t="str">
        <f aca="false">B112&amp;"-R"&amp;E112</f>
        <v>22-R3</v>
      </c>
      <c r="B112" s="18" t="n">
        <v>22</v>
      </c>
      <c r="C112" s="18" t="str">
        <f aca="false">IFERROR(INDEX(Contacts!$B$5:$B$30,MATCH(B112,Contacts!$A$5:$A$30,0)),"")</f>
        <v>Malaka Priyadarshana</v>
      </c>
      <c r="D112" s="18" t="str">
        <f aca="false">IFERROR(INDEX(Contacts!$C$5:$C$30,MATCH(B112,Contacts!$A$5:$A$30,0)),"")</f>
        <v>SFT</v>
      </c>
      <c r="E112" s="18" t="n">
        <v>3</v>
      </c>
      <c r="F112" s="25"/>
      <c r="G112" s="26"/>
      <c r="H112" s="19"/>
      <c r="I112" s="4"/>
      <c r="J112" s="4"/>
      <c r="K112" s="4"/>
      <c r="L112" s="4"/>
      <c r="M112" s="4"/>
      <c r="N112" s="4"/>
      <c r="O112" s="4"/>
      <c r="P112" s="27"/>
      <c r="Q112" s="27"/>
      <c r="R112" s="4"/>
      <c r="S112" s="4"/>
      <c r="T112" s="25"/>
      <c r="U112" s="22"/>
    </row>
    <row r="113" customFormat="false" ht="15" hidden="false" customHeight="false" outlineLevel="0" collapsed="false">
      <c r="A113" s="18" t="str">
        <f aca="false">B113&amp;"-R"&amp;E113</f>
        <v>22-R4</v>
      </c>
      <c r="B113" s="18" t="n">
        <v>22</v>
      </c>
      <c r="C113" s="18" t="str">
        <f aca="false">IFERROR(INDEX(Contacts!$B$5:$B$30,MATCH(B113,Contacts!$A$5:$A$30,0)),"")</f>
        <v>Malaka Priyadarshana</v>
      </c>
      <c r="D113" s="18" t="str">
        <f aca="false">IFERROR(INDEX(Contacts!$C$5:$C$30,MATCH(B113,Contacts!$A$5:$A$30,0)),"")</f>
        <v>SFT</v>
      </c>
      <c r="E113" s="18" t="n">
        <v>4</v>
      </c>
      <c r="F113" s="25"/>
      <c r="G113" s="26"/>
      <c r="H113" s="19"/>
      <c r="I113" s="4"/>
      <c r="J113" s="4"/>
      <c r="K113" s="4"/>
      <c r="L113" s="4"/>
      <c r="M113" s="4"/>
      <c r="N113" s="4"/>
      <c r="O113" s="4"/>
      <c r="P113" s="27"/>
      <c r="Q113" s="27"/>
      <c r="R113" s="4"/>
      <c r="S113" s="4"/>
      <c r="T113" s="25"/>
      <c r="U113" s="22"/>
    </row>
    <row r="114" customFormat="false" ht="15" hidden="false" customHeight="false" outlineLevel="0" collapsed="false">
      <c r="A114" s="28" t="str">
        <f aca="false">B114&amp;"-R"&amp;E114</f>
        <v>22-R5</v>
      </c>
      <c r="B114" s="28" t="n">
        <v>22</v>
      </c>
      <c r="C114" s="28" t="str">
        <f aca="false">IFERROR(INDEX(Contacts!$B$5:$B$30,MATCH(B114,Contacts!$A$5:$A$30,0)),"")</f>
        <v>Malaka Priyadarshana</v>
      </c>
      <c r="D114" s="28" t="str">
        <f aca="false">IFERROR(INDEX(Contacts!$C$5:$C$30,MATCH(B114,Contacts!$A$5:$A$30,0)),"")</f>
        <v>SFT</v>
      </c>
      <c r="E114" s="28" t="n">
        <v>5</v>
      </c>
      <c r="F114" s="29"/>
      <c r="G114" s="30"/>
      <c r="H114" s="31"/>
      <c r="I114" s="32"/>
      <c r="J114" s="32"/>
      <c r="K114" s="32"/>
      <c r="L114" s="32"/>
      <c r="M114" s="32"/>
      <c r="N114" s="32"/>
      <c r="O114" s="32"/>
      <c r="P114" s="33"/>
      <c r="Q114" s="33"/>
      <c r="R114" s="32"/>
      <c r="S114" s="32"/>
      <c r="T114" s="29"/>
      <c r="U114" s="34"/>
    </row>
    <row r="115" customFormat="false" ht="15" hidden="false" customHeight="false" outlineLevel="0" collapsed="false">
      <c r="A115" s="18" t="str">
        <f aca="false">B115&amp;"-R"&amp;E115</f>
        <v>23-R1</v>
      </c>
      <c r="B115" s="18" t="n">
        <v>23</v>
      </c>
      <c r="C115" s="18" t="str">
        <f aca="false">IFERROR(INDEX(Contacts!$B$5:$B$30,MATCH(B115,Contacts!$A$5:$A$30,0)),"")</f>
        <v>Gihan Edussuriya</v>
      </c>
      <c r="D115" s="18" t="str">
        <f aca="false">IFERROR(INDEX(Contacts!$C$5:$C$30,MATCH(B115,Contacts!$A$5:$A$30,0)),"")</f>
        <v>BST</v>
      </c>
      <c r="E115" s="18" t="n">
        <v>1</v>
      </c>
      <c r="F115" s="25"/>
      <c r="G115" s="26"/>
      <c r="H115" s="19"/>
      <c r="I115" s="4"/>
      <c r="J115" s="4"/>
      <c r="K115" s="4"/>
      <c r="L115" s="4"/>
      <c r="M115" s="4"/>
      <c r="N115" s="4"/>
      <c r="O115" s="4"/>
      <c r="P115" s="27"/>
      <c r="Q115" s="27"/>
      <c r="R115" s="4"/>
      <c r="S115" s="4"/>
      <c r="T115" s="25"/>
      <c r="U115" s="22"/>
    </row>
    <row r="116" customFormat="false" ht="15" hidden="false" customHeight="false" outlineLevel="0" collapsed="false">
      <c r="A116" s="18" t="str">
        <f aca="false">B116&amp;"-R"&amp;E116</f>
        <v>23-R2</v>
      </c>
      <c r="B116" s="18" t="n">
        <v>23</v>
      </c>
      <c r="C116" s="18" t="str">
        <f aca="false">IFERROR(INDEX(Contacts!$B$5:$B$30,MATCH(B116,Contacts!$A$5:$A$30,0)),"")</f>
        <v>Gihan Edussuriya</v>
      </c>
      <c r="D116" s="18" t="str">
        <f aca="false">IFERROR(INDEX(Contacts!$C$5:$C$30,MATCH(B116,Contacts!$A$5:$A$30,0)),"")</f>
        <v>BST</v>
      </c>
      <c r="E116" s="18" t="n">
        <v>2</v>
      </c>
      <c r="F116" s="25"/>
      <c r="G116" s="26"/>
      <c r="H116" s="19"/>
      <c r="I116" s="4"/>
      <c r="J116" s="4"/>
      <c r="K116" s="4"/>
      <c r="L116" s="4"/>
      <c r="M116" s="4"/>
      <c r="N116" s="4"/>
      <c r="O116" s="4"/>
      <c r="P116" s="27"/>
      <c r="Q116" s="27"/>
      <c r="R116" s="4"/>
      <c r="S116" s="4"/>
      <c r="T116" s="25"/>
      <c r="U116" s="22"/>
    </row>
    <row r="117" customFormat="false" ht="15" hidden="false" customHeight="false" outlineLevel="0" collapsed="false">
      <c r="A117" s="18" t="str">
        <f aca="false">B117&amp;"-R"&amp;E117</f>
        <v>23-R3</v>
      </c>
      <c r="B117" s="18" t="n">
        <v>23</v>
      </c>
      <c r="C117" s="18" t="str">
        <f aca="false">IFERROR(INDEX(Contacts!$B$5:$B$30,MATCH(B117,Contacts!$A$5:$A$30,0)),"")</f>
        <v>Gihan Edussuriya</v>
      </c>
      <c r="D117" s="18" t="str">
        <f aca="false">IFERROR(INDEX(Contacts!$C$5:$C$30,MATCH(B117,Contacts!$A$5:$A$30,0)),"")</f>
        <v>BST</v>
      </c>
      <c r="E117" s="18" t="n">
        <v>3</v>
      </c>
      <c r="F117" s="25"/>
      <c r="G117" s="26"/>
      <c r="H117" s="19"/>
      <c r="I117" s="4"/>
      <c r="J117" s="4"/>
      <c r="K117" s="4"/>
      <c r="L117" s="4"/>
      <c r="M117" s="4"/>
      <c r="N117" s="4"/>
      <c r="O117" s="4"/>
      <c r="P117" s="27"/>
      <c r="Q117" s="27"/>
      <c r="R117" s="4"/>
      <c r="S117" s="4"/>
      <c r="T117" s="25"/>
      <c r="U117" s="22"/>
    </row>
    <row r="118" customFormat="false" ht="15" hidden="false" customHeight="false" outlineLevel="0" collapsed="false">
      <c r="A118" s="18" t="str">
        <f aca="false">B118&amp;"-R"&amp;E118</f>
        <v>23-R4</v>
      </c>
      <c r="B118" s="18" t="n">
        <v>23</v>
      </c>
      <c r="C118" s="18" t="str">
        <f aca="false">IFERROR(INDEX(Contacts!$B$5:$B$30,MATCH(B118,Contacts!$A$5:$A$30,0)),"")</f>
        <v>Gihan Edussuriya</v>
      </c>
      <c r="D118" s="18" t="str">
        <f aca="false">IFERROR(INDEX(Contacts!$C$5:$C$30,MATCH(B118,Contacts!$A$5:$A$30,0)),"")</f>
        <v>BST</v>
      </c>
      <c r="E118" s="18" t="n">
        <v>4</v>
      </c>
      <c r="F118" s="25"/>
      <c r="G118" s="26"/>
      <c r="H118" s="19"/>
      <c r="I118" s="4"/>
      <c r="J118" s="4"/>
      <c r="K118" s="4"/>
      <c r="L118" s="4"/>
      <c r="M118" s="4"/>
      <c r="N118" s="4"/>
      <c r="O118" s="4"/>
      <c r="P118" s="27"/>
      <c r="Q118" s="27"/>
      <c r="R118" s="4"/>
      <c r="S118" s="4"/>
      <c r="T118" s="25"/>
      <c r="U118" s="22"/>
    </row>
    <row r="119" customFormat="false" ht="15" hidden="false" customHeight="false" outlineLevel="0" collapsed="false">
      <c r="A119" s="28" t="str">
        <f aca="false">B119&amp;"-R"&amp;E119</f>
        <v>23-R5</v>
      </c>
      <c r="B119" s="28" t="n">
        <v>23</v>
      </c>
      <c r="C119" s="28" t="str">
        <f aca="false">IFERROR(INDEX(Contacts!$B$5:$B$30,MATCH(B119,Contacts!$A$5:$A$30,0)),"")</f>
        <v>Gihan Edussuriya</v>
      </c>
      <c r="D119" s="28" t="str">
        <f aca="false">IFERROR(INDEX(Contacts!$C$5:$C$30,MATCH(B119,Contacts!$A$5:$A$30,0)),"")</f>
        <v>BST</v>
      </c>
      <c r="E119" s="28" t="n">
        <v>5</v>
      </c>
      <c r="F119" s="29"/>
      <c r="G119" s="30"/>
      <c r="H119" s="31"/>
      <c r="I119" s="32"/>
      <c r="J119" s="32"/>
      <c r="K119" s="32"/>
      <c r="L119" s="32"/>
      <c r="M119" s="32"/>
      <c r="N119" s="32"/>
      <c r="O119" s="32"/>
      <c r="P119" s="33"/>
      <c r="Q119" s="33"/>
      <c r="R119" s="32"/>
      <c r="S119" s="32"/>
      <c r="T119" s="29"/>
      <c r="U119" s="34"/>
    </row>
    <row r="120" customFormat="false" ht="15" hidden="false" customHeight="false" outlineLevel="0" collapsed="false">
      <c r="A120" s="18" t="str">
        <f aca="false">B120&amp;"-R"&amp;E120</f>
        <v>24-R1</v>
      </c>
      <c r="B120" s="18" t="n">
        <v>24</v>
      </c>
      <c r="C120" s="18" t="str">
        <f aca="false">IFERROR(INDEX(Contacts!$B$5:$B$30,MATCH(B120,Contacts!$A$5:$A$30,0)),"")</f>
        <v>Amila Dasanayake</v>
      </c>
      <c r="D120" s="18" t="str">
        <f aca="false">IFERROR(INDEX(Contacts!$C$5:$C$30,MATCH(B120,Contacts!$A$5:$A$30,0)),"")</f>
        <v>Chemistry</v>
      </c>
      <c r="E120" s="18" t="n">
        <v>1</v>
      </c>
      <c r="F120" s="25"/>
      <c r="G120" s="26"/>
      <c r="H120" s="19"/>
      <c r="I120" s="4"/>
      <c r="J120" s="4"/>
      <c r="K120" s="4"/>
      <c r="L120" s="4"/>
      <c r="M120" s="4"/>
      <c r="N120" s="4"/>
      <c r="O120" s="4"/>
      <c r="P120" s="27"/>
      <c r="Q120" s="27"/>
      <c r="R120" s="4"/>
      <c r="S120" s="4"/>
      <c r="T120" s="25"/>
      <c r="U120" s="22"/>
    </row>
    <row r="121" customFormat="false" ht="15" hidden="false" customHeight="false" outlineLevel="0" collapsed="false">
      <c r="A121" s="18" t="str">
        <f aca="false">B121&amp;"-R"&amp;E121</f>
        <v>24-R2</v>
      </c>
      <c r="B121" s="18" t="n">
        <v>24</v>
      </c>
      <c r="C121" s="18" t="str">
        <f aca="false">IFERROR(INDEX(Contacts!$B$5:$B$30,MATCH(B121,Contacts!$A$5:$A$30,0)),"")</f>
        <v>Amila Dasanayake</v>
      </c>
      <c r="D121" s="18" t="str">
        <f aca="false">IFERROR(INDEX(Contacts!$C$5:$C$30,MATCH(B121,Contacts!$A$5:$A$30,0)),"")</f>
        <v>Chemistry</v>
      </c>
      <c r="E121" s="18" t="n">
        <v>2</v>
      </c>
      <c r="F121" s="25"/>
      <c r="G121" s="26"/>
      <c r="H121" s="19"/>
      <c r="I121" s="4"/>
      <c r="J121" s="4"/>
      <c r="K121" s="4"/>
      <c r="L121" s="4"/>
      <c r="M121" s="4"/>
      <c r="N121" s="4"/>
      <c r="O121" s="4"/>
      <c r="P121" s="27"/>
      <c r="Q121" s="27"/>
      <c r="R121" s="4"/>
      <c r="S121" s="4"/>
      <c r="T121" s="25"/>
      <c r="U121" s="22"/>
    </row>
    <row r="122" customFormat="false" ht="15" hidden="false" customHeight="false" outlineLevel="0" collapsed="false">
      <c r="A122" s="18" t="str">
        <f aca="false">B122&amp;"-R"&amp;E122</f>
        <v>24-R3</v>
      </c>
      <c r="B122" s="18" t="n">
        <v>24</v>
      </c>
      <c r="C122" s="18" t="str">
        <f aca="false">IFERROR(INDEX(Contacts!$B$5:$B$30,MATCH(B122,Contacts!$A$5:$A$30,0)),"")</f>
        <v>Amila Dasanayake</v>
      </c>
      <c r="D122" s="18" t="str">
        <f aca="false">IFERROR(INDEX(Contacts!$C$5:$C$30,MATCH(B122,Contacts!$A$5:$A$30,0)),"")</f>
        <v>Chemistry</v>
      </c>
      <c r="E122" s="18" t="n">
        <v>3</v>
      </c>
      <c r="F122" s="25"/>
      <c r="G122" s="26"/>
      <c r="H122" s="19"/>
      <c r="I122" s="4"/>
      <c r="J122" s="4"/>
      <c r="K122" s="4"/>
      <c r="L122" s="4"/>
      <c r="M122" s="4"/>
      <c r="N122" s="4"/>
      <c r="O122" s="4"/>
      <c r="P122" s="27"/>
      <c r="Q122" s="27"/>
      <c r="R122" s="4"/>
      <c r="S122" s="4"/>
      <c r="T122" s="25"/>
      <c r="U122" s="22"/>
    </row>
    <row r="123" customFormat="false" ht="15" hidden="false" customHeight="false" outlineLevel="0" collapsed="false">
      <c r="A123" s="18" t="str">
        <f aca="false">B123&amp;"-R"&amp;E123</f>
        <v>24-R4</v>
      </c>
      <c r="B123" s="18" t="n">
        <v>24</v>
      </c>
      <c r="C123" s="18" t="str">
        <f aca="false">IFERROR(INDEX(Contacts!$B$5:$B$30,MATCH(B123,Contacts!$A$5:$A$30,0)),"")</f>
        <v>Amila Dasanayake</v>
      </c>
      <c r="D123" s="18" t="str">
        <f aca="false">IFERROR(INDEX(Contacts!$C$5:$C$30,MATCH(B123,Contacts!$A$5:$A$30,0)),"")</f>
        <v>Chemistry</v>
      </c>
      <c r="E123" s="18" t="n">
        <v>4</v>
      </c>
      <c r="F123" s="25"/>
      <c r="G123" s="26"/>
      <c r="H123" s="19"/>
      <c r="I123" s="4"/>
      <c r="J123" s="4"/>
      <c r="K123" s="4"/>
      <c r="L123" s="4"/>
      <c r="M123" s="4"/>
      <c r="N123" s="4"/>
      <c r="O123" s="4"/>
      <c r="P123" s="27"/>
      <c r="Q123" s="27"/>
      <c r="R123" s="4"/>
      <c r="S123" s="4"/>
      <c r="T123" s="25"/>
      <c r="U123" s="22"/>
    </row>
    <row r="124" customFormat="false" ht="15" hidden="false" customHeight="false" outlineLevel="0" collapsed="false">
      <c r="A124" s="28" t="str">
        <f aca="false">B124&amp;"-R"&amp;E124</f>
        <v>24-R5</v>
      </c>
      <c r="B124" s="28" t="n">
        <v>24</v>
      </c>
      <c r="C124" s="28" t="str">
        <f aca="false">IFERROR(INDEX(Contacts!$B$5:$B$30,MATCH(B124,Contacts!$A$5:$A$30,0)),"")</f>
        <v>Amila Dasanayake</v>
      </c>
      <c r="D124" s="28" t="str">
        <f aca="false">IFERROR(INDEX(Contacts!$C$5:$C$30,MATCH(B124,Contacts!$A$5:$A$30,0)),"")</f>
        <v>Chemistry</v>
      </c>
      <c r="E124" s="28" t="n">
        <v>5</v>
      </c>
      <c r="F124" s="29"/>
      <c r="G124" s="30"/>
      <c r="H124" s="31"/>
      <c r="I124" s="32"/>
      <c r="J124" s="32"/>
      <c r="K124" s="32"/>
      <c r="L124" s="32"/>
      <c r="M124" s="32"/>
      <c r="N124" s="32"/>
      <c r="O124" s="32"/>
      <c r="P124" s="33"/>
      <c r="Q124" s="33"/>
      <c r="R124" s="32"/>
      <c r="S124" s="32"/>
      <c r="T124" s="29"/>
      <c r="U124" s="34"/>
    </row>
    <row r="125" customFormat="false" ht="15" hidden="false" customHeight="false" outlineLevel="0" collapsed="false">
      <c r="A125" s="18" t="str">
        <f aca="false">B125&amp;"-R"&amp;E125</f>
        <v>25-R1</v>
      </c>
      <c r="B125" s="18" t="n">
        <v>25</v>
      </c>
      <c r="C125" s="18" t="str">
        <f aca="false">IFERROR(INDEX(Contacts!$B$5:$B$30,MATCH(B125,Contacts!$A$5:$A$30,0)),"")</f>
        <v>Ravindu Bandaranayake</v>
      </c>
      <c r="D125" s="18" t="str">
        <f aca="false">IFERROR(INDEX(Contacts!$C$5:$C$30,MATCH(B125,Contacts!$A$5:$A$30,0)),"")</f>
        <v>ICT</v>
      </c>
      <c r="E125" s="18" t="n">
        <v>1</v>
      </c>
      <c r="F125" s="25"/>
      <c r="G125" s="26"/>
      <c r="H125" s="19"/>
      <c r="I125" s="4"/>
      <c r="J125" s="4"/>
      <c r="K125" s="4"/>
      <c r="L125" s="4"/>
      <c r="M125" s="4"/>
      <c r="N125" s="4"/>
      <c r="O125" s="4"/>
      <c r="P125" s="27"/>
      <c r="Q125" s="27"/>
      <c r="R125" s="4"/>
      <c r="S125" s="4"/>
      <c r="T125" s="25"/>
      <c r="U125" s="22"/>
    </row>
    <row r="126" customFormat="false" ht="15" hidden="false" customHeight="false" outlineLevel="0" collapsed="false">
      <c r="A126" s="18" t="str">
        <f aca="false">B126&amp;"-R"&amp;E126</f>
        <v>25-R2</v>
      </c>
      <c r="B126" s="18" t="n">
        <v>25</v>
      </c>
      <c r="C126" s="18" t="str">
        <f aca="false">IFERROR(INDEX(Contacts!$B$5:$B$30,MATCH(B126,Contacts!$A$5:$A$30,0)),"")</f>
        <v>Ravindu Bandaranayake</v>
      </c>
      <c r="D126" s="18" t="str">
        <f aca="false">IFERROR(INDEX(Contacts!$C$5:$C$30,MATCH(B126,Contacts!$A$5:$A$30,0)),"")</f>
        <v>ICT</v>
      </c>
      <c r="E126" s="18" t="n">
        <v>2</v>
      </c>
      <c r="F126" s="25"/>
      <c r="G126" s="26"/>
      <c r="H126" s="19"/>
      <c r="I126" s="4"/>
      <c r="J126" s="4"/>
      <c r="K126" s="4"/>
      <c r="L126" s="4"/>
      <c r="M126" s="4"/>
      <c r="N126" s="4"/>
      <c r="O126" s="4"/>
      <c r="P126" s="27"/>
      <c r="Q126" s="27"/>
      <c r="R126" s="4"/>
      <c r="S126" s="4"/>
      <c r="T126" s="25"/>
      <c r="U126" s="22"/>
    </row>
    <row r="127" customFormat="false" ht="15" hidden="false" customHeight="false" outlineLevel="0" collapsed="false">
      <c r="A127" s="18" t="str">
        <f aca="false">B127&amp;"-R"&amp;E127</f>
        <v>25-R3</v>
      </c>
      <c r="B127" s="18" t="n">
        <v>25</v>
      </c>
      <c r="C127" s="18" t="str">
        <f aca="false">IFERROR(INDEX(Contacts!$B$5:$B$30,MATCH(B127,Contacts!$A$5:$A$30,0)),"")</f>
        <v>Ravindu Bandaranayake</v>
      </c>
      <c r="D127" s="18" t="str">
        <f aca="false">IFERROR(INDEX(Contacts!$C$5:$C$30,MATCH(B127,Contacts!$A$5:$A$30,0)),"")</f>
        <v>ICT</v>
      </c>
      <c r="E127" s="18" t="n">
        <v>3</v>
      </c>
      <c r="F127" s="25"/>
      <c r="G127" s="26"/>
      <c r="H127" s="19"/>
      <c r="I127" s="4"/>
      <c r="J127" s="4"/>
      <c r="K127" s="4"/>
      <c r="L127" s="4"/>
      <c r="M127" s="4"/>
      <c r="N127" s="4"/>
      <c r="O127" s="4"/>
      <c r="P127" s="27"/>
      <c r="Q127" s="27"/>
      <c r="R127" s="4"/>
      <c r="S127" s="4"/>
      <c r="T127" s="25"/>
      <c r="U127" s="22"/>
    </row>
    <row r="128" customFormat="false" ht="15" hidden="false" customHeight="false" outlineLevel="0" collapsed="false">
      <c r="A128" s="18" t="str">
        <f aca="false">B128&amp;"-R"&amp;E128</f>
        <v>25-R4</v>
      </c>
      <c r="B128" s="18" t="n">
        <v>25</v>
      </c>
      <c r="C128" s="18" t="str">
        <f aca="false">IFERROR(INDEX(Contacts!$B$5:$B$30,MATCH(B128,Contacts!$A$5:$A$30,0)),"")</f>
        <v>Ravindu Bandaranayake</v>
      </c>
      <c r="D128" s="18" t="str">
        <f aca="false">IFERROR(INDEX(Contacts!$C$5:$C$30,MATCH(B128,Contacts!$A$5:$A$30,0)),"")</f>
        <v>ICT</v>
      </c>
      <c r="E128" s="18" t="n">
        <v>4</v>
      </c>
      <c r="F128" s="25"/>
      <c r="G128" s="26"/>
      <c r="H128" s="19"/>
      <c r="I128" s="4"/>
      <c r="J128" s="4"/>
      <c r="K128" s="4"/>
      <c r="L128" s="4"/>
      <c r="M128" s="4"/>
      <c r="N128" s="4"/>
      <c r="O128" s="4"/>
      <c r="P128" s="27"/>
      <c r="Q128" s="27"/>
      <c r="R128" s="4"/>
      <c r="S128" s="4"/>
      <c r="T128" s="25"/>
      <c r="U128" s="22"/>
    </row>
    <row r="129" customFormat="false" ht="15" hidden="false" customHeight="false" outlineLevel="0" collapsed="false">
      <c r="A129" s="28" t="str">
        <f aca="false">B129&amp;"-R"&amp;E129</f>
        <v>25-R5</v>
      </c>
      <c r="B129" s="28" t="n">
        <v>25</v>
      </c>
      <c r="C129" s="28" t="str">
        <f aca="false">IFERROR(INDEX(Contacts!$B$5:$B$30,MATCH(B129,Contacts!$A$5:$A$30,0)),"")</f>
        <v>Ravindu Bandaranayake</v>
      </c>
      <c r="D129" s="28" t="str">
        <f aca="false">IFERROR(INDEX(Contacts!$C$5:$C$30,MATCH(B129,Contacts!$A$5:$A$30,0)),"")</f>
        <v>ICT</v>
      </c>
      <c r="E129" s="28" t="n">
        <v>5</v>
      </c>
      <c r="F129" s="29"/>
      <c r="G129" s="30"/>
      <c r="H129" s="31"/>
      <c r="I129" s="32"/>
      <c r="J129" s="32"/>
      <c r="K129" s="32"/>
      <c r="L129" s="32"/>
      <c r="M129" s="32"/>
      <c r="N129" s="32"/>
      <c r="O129" s="32"/>
      <c r="P129" s="33"/>
      <c r="Q129" s="33"/>
      <c r="R129" s="32"/>
      <c r="S129" s="32"/>
      <c r="T129" s="29"/>
      <c r="U129" s="34"/>
    </row>
    <row r="130" customFormat="false" ht="15" hidden="false" customHeight="false" outlineLevel="0" collapsed="false">
      <c r="A130" s="18" t="str">
        <f aca="false">B130&amp;"-R"&amp;E130</f>
        <v>26-R1</v>
      </c>
      <c r="B130" s="18" t="n">
        <v>26</v>
      </c>
      <c r="C130" s="18" t="str">
        <f aca="false">IFERROR(INDEX(Contacts!$B$5:$B$30,MATCH(B130,Contacts!$A$5:$A$30,0)),"")</f>
        <v>Anuradha Perera</v>
      </c>
      <c r="D130" s="18" t="str">
        <f aca="false">IFERROR(INDEX(Contacts!$C$5:$C$30,MATCH(B130,Contacts!$A$5:$A$30,0)),"")</f>
        <v>Physics</v>
      </c>
      <c r="E130" s="18" t="n">
        <v>1</v>
      </c>
      <c r="F130" s="25"/>
      <c r="G130" s="26"/>
      <c r="H130" s="19"/>
      <c r="I130" s="4"/>
      <c r="J130" s="4"/>
      <c r="K130" s="4"/>
      <c r="L130" s="4"/>
      <c r="M130" s="4"/>
      <c r="N130" s="4"/>
      <c r="O130" s="4"/>
      <c r="P130" s="27"/>
      <c r="Q130" s="27"/>
      <c r="R130" s="4"/>
      <c r="S130" s="4"/>
      <c r="T130" s="25"/>
      <c r="U130" s="22"/>
    </row>
    <row r="131" customFormat="false" ht="15" hidden="false" customHeight="false" outlineLevel="0" collapsed="false">
      <c r="A131" s="18" t="str">
        <f aca="false">B131&amp;"-R"&amp;E131</f>
        <v>26-R2</v>
      </c>
      <c r="B131" s="18" t="n">
        <v>26</v>
      </c>
      <c r="C131" s="18" t="str">
        <f aca="false">IFERROR(INDEX(Contacts!$B$5:$B$30,MATCH(B131,Contacts!$A$5:$A$30,0)),"")</f>
        <v>Anuradha Perera</v>
      </c>
      <c r="D131" s="18" t="str">
        <f aca="false">IFERROR(INDEX(Contacts!$C$5:$C$30,MATCH(B131,Contacts!$A$5:$A$30,0)),"")</f>
        <v>Physics</v>
      </c>
      <c r="E131" s="18" t="n">
        <v>2</v>
      </c>
      <c r="F131" s="25"/>
      <c r="G131" s="26"/>
      <c r="H131" s="19"/>
      <c r="I131" s="4"/>
      <c r="J131" s="4"/>
      <c r="K131" s="4"/>
      <c r="L131" s="4"/>
      <c r="M131" s="4"/>
      <c r="N131" s="4"/>
      <c r="O131" s="4"/>
      <c r="P131" s="27"/>
      <c r="Q131" s="27"/>
      <c r="R131" s="4"/>
      <c r="S131" s="4"/>
      <c r="T131" s="25"/>
      <c r="U131" s="22"/>
    </row>
    <row r="132" customFormat="false" ht="15" hidden="false" customHeight="false" outlineLevel="0" collapsed="false">
      <c r="A132" s="18" t="str">
        <f aca="false">B132&amp;"-R"&amp;E132</f>
        <v>26-R3</v>
      </c>
      <c r="B132" s="18" t="n">
        <v>26</v>
      </c>
      <c r="C132" s="18" t="str">
        <f aca="false">IFERROR(INDEX(Contacts!$B$5:$B$30,MATCH(B132,Contacts!$A$5:$A$30,0)),"")</f>
        <v>Anuradha Perera</v>
      </c>
      <c r="D132" s="18" t="str">
        <f aca="false">IFERROR(INDEX(Contacts!$C$5:$C$30,MATCH(B132,Contacts!$A$5:$A$30,0)),"")</f>
        <v>Physics</v>
      </c>
      <c r="E132" s="18" t="n">
        <v>3</v>
      </c>
      <c r="F132" s="25"/>
      <c r="G132" s="26"/>
      <c r="H132" s="19"/>
      <c r="I132" s="4"/>
      <c r="J132" s="4"/>
      <c r="K132" s="4"/>
      <c r="L132" s="4"/>
      <c r="M132" s="4"/>
      <c r="N132" s="4"/>
      <c r="O132" s="4"/>
      <c r="P132" s="27"/>
      <c r="Q132" s="27"/>
      <c r="R132" s="4"/>
      <c r="S132" s="4"/>
      <c r="T132" s="25"/>
      <c r="U132" s="22"/>
    </row>
    <row r="133" customFormat="false" ht="15" hidden="false" customHeight="false" outlineLevel="0" collapsed="false">
      <c r="A133" s="18" t="str">
        <f aca="false">B133&amp;"-R"&amp;E133</f>
        <v>26-R4</v>
      </c>
      <c r="B133" s="18" t="n">
        <v>26</v>
      </c>
      <c r="C133" s="18" t="str">
        <f aca="false">IFERROR(INDEX(Contacts!$B$5:$B$30,MATCH(B133,Contacts!$A$5:$A$30,0)),"")</f>
        <v>Anuradha Perera</v>
      </c>
      <c r="D133" s="18" t="str">
        <f aca="false">IFERROR(INDEX(Contacts!$C$5:$C$30,MATCH(B133,Contacts!$A$5:$A$30,0)),"")</f>
        <v>Physics</v>
      </c>
      <c r="E133" s="18" t="n">
        <v>4</v>
      </c>
      <c r="F133" s="25"/>
      <c r="G133" s="26"/>
      <c r="H133" s="19"/>
      <c r="I133" s="4"/>
      <c r="J133" s="4"/>
      <c r="K133" s="4"/>
      <c r="L133" s="4"/>
      <c r="M133" s="4"/>
      <c r="N133" s="4"/>
      <c r="O133" s="4"/>
      <c r="P133" s="27"/>
      <c r="Q133" s="27"/>
      <c r="R133" s="4"/>
      <c r="S133" s="4"/>
      <c r="T133" s="25"/>
      <c r="U133" s="22"/>
    </row>
    <row r="134" customFormat="false" ht="15" hidden="false" customHeight="false" outlineLevel="0" collapsed="false">
      <c r="A134" s="28" t="str">
        <f aca="false">B134&amp;"-R"&amp;E134</f>
        <v>26-R5</v>
      </c>
      <c r="B134" s="28" t="n">
        <v>26</v>
      </c>
      <c r="C134" s="28" t="str">
        <f aca="false">IFERROR(INDEX(Contacts!$B$5:$B$30,MATCH(B134,Contacts!$A$5:$A$30,0)),"")</f>
        <v>Anuradha Perera</v>
      </c>
      <c r="D134" s="28" t="str">
        <f aca="false">IFERROR(INDEX(Contacts!$C$5:$C$30,MATCH(B134,Contacts!$A$5:$A$30,0)),"")</f>
        <v>Physics</v>
      </c>
      <c r="E134" s="28" t="n">
        <v>5</v>
      </c>
      <c r="F134" s="29"/>
      <c r="G134" s="30"/>
      <c r="H134" s="31"/>
      <c r="I134" s="32"/>
      <c r="J134" s="32"/>
      <c r="K134" s="32"/>
      <c r="L134" s="32"/>
      <c r="M134" s="32"/>
      <c r="N134" s="32"/>
      <c r="O134" s="32"/>
      <c r="P134" s="33"/>
      <c r="Q134" s="33"/>
      <c r="R134" s="32"/>
      <c r="S134" s="32"/>
      <c r="T134" s="29"/>
      <c r="U134" s="34"/>
    </row>
  </sheetData>
  <autoFilter ref="A4:U134"/>
  <mergeCells count="2">
    <mergeCell ref="A2:U2"/>
    <mergeCell ref="A3:U3"/>
  </mergeCells>
  <conditionalFormatting sqref="I5:I134">
    <cfRule type="expression" priority="2" aboveAverage="0" equalAverage="0" bottom="0" percent="0" rank="0" text="" dxfId="5">
      <formula>LEFT(I5,8)="Answered"</formula>
    </cfRule>
    <cfRule type="expression" priority="3" aboveAverage="0" equalAverage="0" bottom="0" percent="0" rank="0" text="" dxfId="8">
      <formula>OR(I5="No answer",I5="Busy",I5="Call declined",LEFT(I5,8)="Switched")</formula>
    </cfRule>
    <cfRule type="expression" priority="4" aboveAverage="0" equalAverage="0" bottom="0" percent="0" rank="0" text="" dxfId="6">
      <formula>OR(I5="Wrong number",I5="Not interested")</formula>
    </cfRule>
  </conditionalFormatting>
  <dataValidations count="6">
    <dataValidation allowBlank="true" error="Pick a value from the list" errorStyle="warning" operator="between" showDropDown="false" showErrorMessage="false" showInputMessage="false" sqref="I5:I134" type="list">
      <formula1>Lists!$A$2:$A$9</formula1>
      <formula2>0</formula2>
    </dataValidation>
    <dataValidation allowBlank="true" error="Pick a value from the list" errorStyle="warning" operator="between" showDropDown="false" showErrorMessage="false" showInputMessage="false" sqref="J5:J134" type="list">
      <formula1>Lists!$B$2:$B$6</formula1>
      <formula2>0</formula2>
    </dataValidation>
    <dataValidation allowBlank="true" error="Pick a value from the list" errorStyle="warning" operator="between" showDropDown="false" showErrorMessage="false" showInputMessage="false" sqref="K5:K134" type="list">
      <formula1>Lists!$C$2:$C$3</formula1>
      <formula2>0</formula2>
    </dataValidation>
    <dataValidation allowBlank="true" error="Pick a value from the list" errorStyle="warning" operator="between" showDropDown="false" showErrorMessage="false" showInputMessage="false" sqref="M5:N134" type="list">
      <formula1>Lists!$C$2:$C$3</formula1>
      <formula2>0</formula2>
    </dataValidation>
    <dataValidation allowBlank="true" error="Pick a value from the list" errorStyle="warning" operator="between" showDropDown="false" showErrorMessage="false" showInputMessage="false" sqref="O5:O134" type="list">
      <formula1>Lists!$E$2:$E$5</formula1>
      <formula2>0</formula2>
    </dataValidation>
    <dataValidation allowBlank="true" error="Pick a value from the list" errorStyle="warning" operator="between" showDropDown="false" showErrorMessage="false" showInputMessage="false" sqref="R5:R134" type="list">
      <formula1>Lists!$D$2:$D$7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8"/>
  </cols>
  <sheetData>
    <row r="1" customFormat="false" ht="15" hidden="false" customHeight="false" outlineLevel="0" collapsed="false">
      <c r="A1" s="35" t="s">
        <v>138</v>
      </c>
      <c r="B1" s="35" t="s">
        <v>139</v>
      </c>
      <c r="C1" s="35" t="s">
        <v>140</v>
      </c>
      <c r="D1" s="35" t="s">
        <v>141</v>
      </c>
      <c r="E1" s="35" t="s">
        <v>142</v>
      </c>
      <c r="F1" s="35" t="s">
        <v>143</v>
      </c>
    </row>
    <row r="2" customFormat="false" ht="15" hidden="false" customHeight="false" outlineLevel="0" collapsed="false">
      <c r="A2" s="12" t="s">
        <v>144</v>
      </c>
      <c r="B2" s="12" t="s">
        <v>145</v>
      </c>
      <c r="C2" s="12" t="s">
        <v>146</v>
      </c>
      <c r="D2" s="12" t="s">
        <v>24</v>
      </c>
      <c r="E2" s="12" t="s">
        <v>147</v>
      </c>
      <c r="F2" s="12" t="s">
        <v>22</v>
      </c>
    </row>
    <row r="3" customFormat="false" ht="15" hidden="false" customHeight="false" outlineLevel="0" collapsed="false">
      <c r="A3" s="12" t="s">
        <v>148</v>
      </c>
      <c r="B3" s="12" t="s">
        <v>149</v>
      </c>
      <c r="C3" s="12" t="s">
        <v>150</v>
      </c>
      <c r="D3" s="12" t="s">
        <v>151</v>
      </c>
      <c r="E3" s="12" t="s">
        <v>152</v>
      </c>
      <c r="F3" s="12" t="s">
        <v>23</v>
      </c>
    </row>
    <row r="4" customFormat="false" ht="15" hidden="false" customHeight="false" outlineLevel="0" collapsed="false">
      <c r="A4" s="12" t="s">
        <v>153</v>
      </c>
      <c r="B4" s="12" t="s">
        <v>154</v>
      </c>
      <c r="D4" s="12" t="s">
        <v>155</v>
      </c>
      <c r="E4" s="12" t="s">
        <v>156</v>
      </c>
      <c r="F4" s="12" t="s">
        <v>24</v>
      </c>
    </row>
    <row r="5" customFormat="false" ht="15" hidden="false" customHeight="false" outlineLevel="0" collapsed="false">
      <c r="A5" s="12" t="s">
        <v>157</v>
      </c>
      <c r="B5" s="12" t="s">
        <v>158</v>
      </c>
      <c r="D5" s="12" t="s">
        <v>25</v>
      </c>
      <c r="E5" s="12" t="s">
        <v>159</v>
      </c>
      <c r="F5" s="12" t="s">
        <v>25</v>
      </c>
    </row>
    <row r="6" customFormat="false" ht="15" hidden="false" customHeight="false" outlineLevel="0" collapsed="false">
      <c r="A6" s="12" t="s">
        <v>160</v>
      </c>
      <c r="B6" s="12" t="s">
        <v>161</v>
      </c>
      <c r="D6" s="12" t="s">
        <v>20</v>
      </c>
      <c r="F6" s="12" t="s">
        <v>26</v>
      </c>
    </row>
    <row r="7" customFormat="false" ht="15" hidden="false" customHeight="false" outlineLevel="0" collapsed="false">
      <c r="A7" s="12" t="s">
        <v>12</v>
      </c>
      <c r="D7" s="12" t="s">
        <v>162</v>
      </c>
      <c r="F7" s="12" t="s">
        <v>27</v>
      </c>
    </row>
    <row r="8" customFormat="false" ht="15" hidden="false" customHeight="false" outlineLevel="0" collapsed="false">
      <c r="A8" s="12" t="s">
        <v>20</v>
      </c>
    </row>
    <row r="9" customFormat="false" ht="15" hidden="false" customHeight="false" outlineLevel="0" collapsed="false">
      <c r="A9" s="12" t="s">
        <v>163</v>
      </c>
    </row>
    <row r="10" customFormat="false" ht="15" hidden="false" customHeight="false" outlineLevel="0" collapsed="false">
      <c r="A10" s="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2026-10-12T07:39:50Z</dcterms:created>
  <dc:creator>openpyxl</dc:creator>
  <dc:description/>
  <dc:language>en-US</dc:language>
  <cp:lastModifiedBy/>
  <dcterms:modified xsi:type="dcterms:W3CDTF">2026-10-12T07:39:50Z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